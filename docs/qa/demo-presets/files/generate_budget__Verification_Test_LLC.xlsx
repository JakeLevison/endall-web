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Monthly Budget" sheetId="2" state="visible" r:id="rId2"/>
  </sheets>
  <definedNames/>
  <calcPr calcId="124519" fullCalcOnLoad="1"/>
</workbook>
</file>

<file path=xl/styles.xml><?xml version="1.0" encoding="utf-8"?>
<styleSheet xmlns="http://schemas.openxmlformats.org/spreadsheetml/2006/main">
  <numFmts count="4">
    <numFmt numFmtId="164" formatCode="$#,##0"/>
    <numFmt numFmtId="165" formatCode="0.0%"/>
    <numFmt numFmtId="166" formatCode="+$#,##0;-$#,##0;$0"/>
    <numFmt numFmtId="167" formatCode="+0.0%;-0.0%;0.0%"/>
  </numFmts>
  <fonts count="12">
    <font>
      <name val="Calibri"/>
      <family val="2"/>
      <color theme="1"/>
      <sz val="11"/>
      <scheme val="minor"/>
    </font>
    <font>
      <b val="1"/>
      <color rgb="001F4E79"/>
      <sz val="14"/>
    </font>
    <font>
      <b val="1"/>
      <color rgb="00666666"/>
      <sz val="10"/>
    </font>
    <font>
      <b val="1"/>
      <color rgb="001F4E79"/>
      <sz val="11"/>
    </font>
    <font>
      <b val="1"/>
      <sz val="11"/>
    </font>
    <font>
      <b val="1"/>
      <sz val="10"/>
    </font>
    <font>
      <b val="1"/>
      <color rgb="000000FF"/>
      <sz val="10"/>
    </font>
    <font>
      <sz val="10"/>
    </font>
    <font>
      <b val="1"/>
      <sz val="9"/>
    </font>
    <font>
      <color rgb="000000FF"/>
      <sz val="10"/>
    </font>
    <font>
      <b val="1"/>
      <color rgb="00FFFFFF"/>
      <sz val="11"/>
    </font>
    <font>
      <sz val="11"/>
    </font>
  </fonts>
  <fills count="9">
    <fill>
      <patternFill/>
    </fill>
    <fill>
      <patternFill patternType="gray125"/>
    </fill>
    <fill>
      <patternFill patternType="solid">
        <fgColor rgb="00D6E4F0"/>
      </patternFill>
    </fill>
    <fill>
      <patternFill patternType="solid">
        <fgColor rgb="00FFF2CC"/>
      </patternFill>
    </fill>
    <fill>
      <patternFill patternType="solid">
        <fgColor rgb="00E2EFDA"/>
      </patternFill>
    </fill>
    <fill>
      <patternFill patternType="solid">
        <fgColor rgb="001F4E79"/>
      </patternFill>
    </fill>
    <fill>
      <patternFill patternType="solid">
        <fgColor rgb="00E8E8E8"/>
      </patternFill>
    </fill>
    <fill>
      <patternFill patternType="solid">
        <fgColor rgb="00DAEEF3"/>
      </patternFill>
    </fill>
    <fill>
      <patternFill patternType="solid">
        <fgColor rgb="00FCE4E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49">
    <xf numFmtId="0" fontId="0" fillId="0" borderId="0" pivotButton="0" quotePrefix="0" xfId="0"/>
    <xf numFmtId="0" fontId="1" fillId="0" borderId="0" pivotButton="0" quotePrefix="0" xfId="0"/>
    <xf numFmtId="0" fontId="11" fillId="0" borderId="0" applyAlignment="1" pivotButton="0" quotePrefix="0" xfId="0">
      <alignment wrapText="1"/>
    </xf>
    <xf numFmtId="0" fontId="3" fillId="2" borderId="0" pivotButton="0" quotePrefix="0" xfId="0"/>
    <xf numFmtId="0" fontId="0" fillId="2" borderId="0" pivotButton="0" quotePrefix="0" xfId="0"/>
    <xf numFmtId="0" fontId="0" fillId="3" borderId="1" pivotButton="0" quotePrefix="0" xfId="0"/>
    <xf numFmtId="0" fontId="4" fillId="0" borderId="1" pivotButton="0" quotePrefix="0" xfId="0"/>
    <xf numFmtId="0" fontId="11" fillId="0" borderId="1" pivotButton="0" quotePrefix="0" xfId="0"/>
    <xf numFmtId="0" fontId="0" fillId="7" borderId="1" pivotButton="0" quotePrefix="0" xfId="0"/>
    <xf numFmtId="0" fontId="0" fillId="6" borderId="1" pivotButton="0" quotePrefix="0" xfId="0"/>
    <xf numFmtId="0" fontId="0" fillId="4" borderId="1" pivotButton="0" quotePrefix="0" xfId="0"/>
    <xf numFmtId="0" fontId="0" fillId="8" borderId="1" pivotButton="0" quotePrefix="0" xfId="0"/>
    <xf numFmtId="0" fontId="2" fillId="0" borderId="0" pivotButton="0" quotePrefix="0" xfId="0"/>
    <xf numFmtId="0" fontId="3" fillId="0" borderId="0" pivotButton="0" quotePrefix="0" xfId="0"/>
    <xf numFmtId="164" fontId="4" fillId="0" borderId="1" pivotButton="0" quotePrefix="0" xfId="0"/>
    <xf numFmtId="165" fontId="4" fillId="0" borderId="1" pivotButton="0" quotePrefix="0" xfId="0"/>
    <xf numFmtId="0" fontId="5" fillId="0" borderId="0" pivotButton="0" quotePrefix="0" xfId="0"/>
    <xf numFmtId="164" fontId="6" fillId="0" borderId="1" applyProtection="1" pivotButton="0" quotePrefix="0" xfId="0">
      <protection locked="0" hidden="0"/>
    </xf>
    <xf numFmtId="165" fontId="6" fillId="0" borderId="1" applyProtection="1" pivotButton="0" quotePrefix="0" xfId="0">
      <protection locked="0" hidden="0"/>
    </xf>
    <xf numFmtId="0" fontId="7" fillId="0" borderId="0" pivotButton="0" quotePrefix="0" xfId="0"/>
    <xf numFmtId="0" fontId="8" fillId="0" borderId="0" applyAlignment="1" pivotButton="0" quotePrefix="0" xfId="0">
      <alignment horizontal="center"/>
    </xf>
    <xf numFmtId="165" fontId="9" fillId="3" borderId="1" applyAlignment="1" applyProtection="1" pivotButton="0" quotePrefix="0" xfId="0">
      <alignment horizontal="center"/>
      <protection locked="0" hidden="0"/>
    </xf>
    <xf numFmtId="164" fontId="5" fillId="0" borderId="0" pivotButton="0" quotePrefix="0" xfId="0"/>
    <xf numFmtId="0" fontId="3" fillId="4" borderId="0" pivotButton="0" quotePrefix="0" xfId="0"/>
    <xf numFmtId="0" fontId="0" fillId="4" borderId="0" pivotButton="0" quotePrefix="0" xfId="0"/>
    <xf numFmtId="0" fontId="5" fillId="4" borderId="1" pivotButton="0" quotePrefix="0" xfId="0"/>
    <xf numFmtId="0" fontId="5" fillId="0" borderId="1" pivotButton="0" quotePrefix="0" xfId="0"/>
    <xf numFmtId="165" fontId="0" fillId="0" borderId="1" pivotButton="0" quotePrefix="0" xfId="0"/>
    <xf numFmtId="167" fontId="0" fillId="0" borderId="1" pivotButton="0" quotePrefix="0" xfId="0"/>
    <xf numFmtId="0" fontId="0" fillId="0" borderId="1" pivotButton="0" quotePrefix="0" xfId="0"/>
    <xf numFmtId="0" fontId="0" fillId="5" borderId="0" pivotButton="0" quotePrefix="0" xfId="0"/>
    <xf numFmtId="0" fontId="10" fillId="5" borderId="0" applyAlignment="1" pivotButton="0" quotePrefix="0" xfId="0">
      <alignment horizontal="center"/>
    </xf>
    <xf numFmtId="0" fontId="5" fillId="6" borderId="1" pivotButton="0" quotePrefix="0" xfId="0"/>
    <xf numFmtId="0" fontId="8" fillId="6" borderId="1" applyAlignment="1" pivotButton="0" quotePrefix="0" xfId="0">
      <alignment horizontal="center"/>
    </xf>
    <xf numFmtId="0" fontId="8" fillId="7" borderId="1" applyAlignment="1" pivotButton="0" quotePrefix="0" xfId="0">
      <alignment horizontal="center"/>
    </xf>
    <xf numFmtId="0" fontId="8" fillId="6" borderId="1" pivotButton="0" quotePrefix="0" xfId="0"/>
    <xf numFmtId="0" fontId="8" fillId="7" borderId="1" pivotButton="0" quotePrefix="0" xfId="0"/>
    <xf numFmtId="0" fontId="3" fillId="2" borderId="1" pivotButton="0" quotePrefix="0" xfId="0"/>
    <xf numFmtId="0" fontId="0" fillId="2" borderId="1" pivotButton="0" quotePrefix="0" xfId="0"/>
    <xf numFmtId="0" fontId="7" fillId="0" borderId="1" pivotButton="0" quotePrefix="0" xfId="0"/>
    <xf numFmtId="164" fontId="7" fillId="0" borderId="1" pivotButton="0" quotePrefix="0" xfId="0"/>
    <xf numFmtId="164" fontId="9" fillId="7" borderId="1" applyProtection="1" pivotButton="0" quotePrefix="0" xfId="0">
      <protection locked="0" hidden="0"/>
    </xf>
    <xf numFmtId="166" fontId="7" fillId="0" borderId="1" pivotButton="0" quotePrefix="0" xfId="0"/>
    <xf numFmtId="167" fontId="7" fillId="0" borderId="1" pivotButton="0" quotePrefix="0" xfId="0"/>
    <xf numFmtId="164" fontId="5" fillId="0" borderId="1" pivotButton="0" quotePrefix="0" xfId="0"/>
    <xf numFmtId="166" fontId="5" fillId="0" borderId="1" pivotButton="0" quotePrefix="0" xfId="0"/>
    <xf numFmtId="167" fontId="5" fillId="0" borderId="1" pivotButton="0" quotePrefix="0" xfId="0"/>
    <xf numFmtId="165" fontId="7" fillId="0" borderId="1" pivotButton="0" quotePrefix="0" xfId="0"/>
    <xf numFmtId="165" fontId="9" fillId="7" borderId="1"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2" customWidth="1" min="1" max="1"/>
    <col width="15" customWidth="1" min="2" max="2"/>
    <col width="45" customWidth="1" min="3" max="3"/>
    <col width="15" customWidth="1" min="4" max="4"/>
    <col width="15" customWidth="1" min="5" max="5"/>
  </cols>
  <sheetData>
    <row r="1">
      <c r="A1" s="1" t="inlineStr">
        <is>
          <t>How to Use This Workbook</t>
        </is>
      </c>
    </row>
    <row r="2"/>
    <row r="3" ht="40" customHeight="1">
      <c r="A3" s="2" t="inlineStr">
        <is>
          <t>This workbook is your 12-month operating budget. It tracks revenue, direct job costs, and overhead so you can see whether you're making or losing money each month.</t>
        </is>
      </c>
    </row>
    <row r="4"/>
    <row r="5" ht="40" customHeight="1">
      <c r="A5" s="2" t="inlineStr">
        <is>
          <t>Update the yellow cells at the top with your targets and cost structure. Each month, enter your actual revenue and costs in the blue columns. All variances and KPIs calculate automatically.</t>
        </is>
      </c>
    </row>
    <row r="6"/>
    <row r="7" ht="40" customHeight="1">
      <c r="A7" s="2" t="inlineStr">
        <is>
          <t>Check the top of the Monthly Budget tab for the bottom line: your monthly burn rate, projected annual profit, and current margin. The KPI section shows whether you're on track or need to make adjustments.</t>
        </is>
      </c>
    </row>
    <row r="8"/>
    <row r="9">
      <c r="A9" s="3" t="inlineStr">
        <is>
          <t>COLOR GUIDE</t>
        </is>
      </c>
      <c r="B9" s="4" t="n"/>
      <c r="C9" s="4" t="n"/>
    </row>
    <row r="10">
      <c r="A10" s="5" t="n"/>
      <c r="B10" s="6" t="inlineStr">
        <is>
          <t>YELLOW</t>
        </is>
      </c>
      <c r="C10" s="7" t="inlineStr">
        <is>
          <t>Your input -- fill these in</t>
        </is>
      </c>
    </row>
    <row r="11">
      <c r="A11" s="8" t="n"/>
      <c r="B11" s="6" t="inlineStr">
        <is>
          <t>BLUE</t>
        </is>
      </c>
      <c r="C11" s="7" t="inlineStr">
        <is>
          <t>Actual results -- enter as they come in</t>
        </is>
      </c>
    </row>
    <row r="12">
      <c r="A12" s="9" t="n"/>
      <c r="B12" s="6" t="inlineStr">
        <is>
          <t>GRAY</t>
        </is>
      </c>
      <c r="C12" s="7" t="inlineStr">
        <is>
          <t>Calculated -- don't touch</t>
        </is>
      </c>
    </row>
    <row r="13">
      <c r="A13" s="10" t="n"/>
      <c r="B13" s="6" t="inlineStr">
        <is>
          <t>GREEN</t>
        </is>
      </c>
      <c r="C13" s="7" t="inlineStr">
        <is>
          <t>Good result -- on track</t>
        </is>
      </c>
    </row>
    <row r="14">
      <c r="A14" s="11" t="n"/>
      <c r="B14" s="6" t="inlineStr">
        <is>
          <t>RED</t>
        </is>
      </c>
      <c r="C14" s="7" t="inlineStr">
        <is>
          <t>Needs attention -- action required</t>
        </is>
      </c>
    </row>
  </sheetData>
  <sheetProtection selectLockedCells="0" selectUnlockedCells="0" sheet="1" objects="0" insertRows="1" insertHyperlinks="1" autoFilter="0" scenarios="0" formatColumns="0" deleteColumns="1" insertColumns="1" pivotTables="1" deleteRows="1" formatCells="0" formatRows="0" sort="0" password="CE4B"/>
  <mergeCells count="5">
    <mergeCell ref="A7:E7"/>
    <mergeCell ref="A9:C9"/>
    <mergeCell ref="A1:E1"/>
    <mergeCell ref="A5:E5"/>
    <mergeCell ref="A3:E3"/>
  </mergeCells>
  <pageMargins left="0.75" right="0.75" top="1" bottom="1" header="0.5" footer="0.5"/>
  <headerFooter>
    <oddHeader/>
    <oddFooter>&amp;R&amp;9 &amp;K808080Generated by Endall | endall.ai</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Y87"/>
  <sheetViews>
    <sheetView workbookViewId="0">
      <selection activeCell="A1" sqref="A1"/>
    </sheetView>
  </sheetViews>
  <sheetFormatPr baseColWidth="8" defaultRowHeight="15"/>
  <cols>
    <col width="50"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s>
  <sheetData>
    <row r="1">
      <c r="A1" s="1" t="inlineStr">
        <is>
          <t>Verification Test LLC -- 2026 Monthly Budget</t>
        </is>
      </c>
    </row>
    <row r="2">
      <c r="A2" s="12" t="inlineStr">
        <is>
          <t>Generated April 22, 2026</t>
        </is>
      </c>
    </row>
    <row r="3"/>
    <row r="4">
      <c r="A4" s="3" t="inlineStr">
        <is>
          <t>THE BOTTOM LINE</t>
        </is>
      </c>
      <c r="B4" s="4" t="n"/>
      <c r="C4" s="4" t="n"/>
      <c r="D4" s="4" t="n"/>
    </row>
    <row r="5">
      <c r="A5" s="13" t="inlineStr">
        <is>
          <t>Monthly Burn Rate (Total Overhead)</t>
        </is>
      </c>
      <c r="B5" s="14">
        <f>B82</f>
        <v/>
      </c>
    </row>
    <row r="6">
      <c r="A6" s="13" t="inlineStr">
        <is>
          <t>Projected Annual Profit (EBITDA)</t>
        </is>
      </c>
      <c r="B6" s="14">
        <f>AX85</f>
        <v/>
      </c>
    </row>
    <row r="7">
      <c r="A7" s="13" t="inlineStr">
        <is>
          <t>Profit Margin % (Gross Margin)</t>
        </is>
      </c>
      <c r="B7" s="15">
        <f>IF(AX57=0,0,AX66/AX57)</f>
        <v/>
      </c>
    </row>
    <row r="8">
      <c r="A8" s="13" t="inlineStr">
        <is>
          <t>Profit Before Taxes % (EBITDA Margin)</t>
        </is>
      </c>
      <c r="B8" s="15">
        <f>IF(AX57=0,0,AX85/AX57)</f>
        <v/>
      </c>
    </row>
    <row r="9"/>
    <row r="10">
      <c r="A10" s="3" t="inlineStr">
        <is>
          <t>ASSUMPTIONS &amp; INPUTS</t>
        </is>
      </c>
      <c r="B10" s="4" t="n"/>
      <c r="C10" s="4" t="n"/>
      <c r="D10" s="4" t="n"/>
    </row>
    <row r="11">
      <c r="A11" s="16" t="inlineStr">
        <is>
          <t>Monthly Revenue Target</t>
        </is>
      </c>
      <c r="B11" s="17" t="n">
        <v>412000</v>
      </c>
    </row>
    <row r="12">
      <c r="A12" s="16" t="inlineStr">
        <is>
          <t>Labor % of Revenue</t>
        </is>
      </c>
      <c r="B12" s="18" t="n">
        <v>0.42</v>
      </c>
    </row>
    <row r="13">
      <c r="A13" s="16" t="inlineStr">
        <is>
          <t>Materials % of Revenue</t>
        </is>
      </c>
      <c r="B13" s="18" t="n">
        <v>0.31</v>
      </c>
    </row>
    <row r="14">
      <c r="A14" s="16" t="inlineStr">
        <is>
          <t>Subcontractors % of Revenue</t>
        </is>
      </c>
      <c r="B14" s="18" t="n">
        <v>0.12</v>
      </c>
    </row>
    <row r="15">
      <c r="A15" s="16" t="inlineStr">
        <is>
          <t>Equipment % of Revenue</t>
        </is>
      </c>
      <c r="B15" s="18" t="n">
        <v>0.02</v>
      </c>
    </row>
    <row r="16">
      <c r="A16" s="16" t="inlineStr">
        <is>
          <t>Profit After Direct Costs Target (Gross Margin)</t>
        </is>
      </c>
      <c r="B16" s="18" t="n">
        <v>0.35</v>
      </c>
    </row>
    <row r="17">
      <c r="A17" s="16" t="inlineStr">
        <is>
          <t>Profit Before Taxes Target (EBITDA)</t>
        </is>
      </c>
      <c r="B17" s="18" t="n">
        <v>0.15</v>
      </c>
    </row>
    <row r="18">
      <c r="A18" s="16" t="inlineStr">
        <is>
          <t>Max Labor Cost (% of Revenue)</t>
        </is>
      </c>
      <c r="B18" s="18" t="n">
        <v>0.42</v>
      </c>
    </row>
    <row r="19"/>
    <row r="20">
      <c r="A20" s="16" t="inlineStr">
        <is>
          <t>Revenue Mix (must total 100%)</t>
        </is>
      </c>
    </row>
    <row r="21">
      <c r="A21" s="19" t="inlineStr">
        <is>
          <t xml:space="preserve">  Commercial % of Revenue</t>
        </is>
      </c>
      <c r="B21" s="18" t="n">
        <v>0.45</v>
      </c>
    </row>
    <row r="22">
      <c r="A22" s="19" t="inlineStr">
        <is>
          <t xml:space="preserve">  Data Center % of Revenue</t>
        </is>
      </c>
      <c r="B22" s="18" t="n">
        <v>0.35</v>
      </c>
    </row>
    <row r="23">
      <c r="A23" s="19" t="inlineStr">
        <is>
          <t xml:space="preserve">  Residential % of Revenue</t>
        </is>
      </c>
      <c r="B23" s="18" t="n">
        <v>0.1</v>
      </c>
    </row>
    <row r="24">
      <c r="A24" s="19" t="inlineStr">
        <is>
          <t xml:space="preserve">  Service Agreements % of Revenue</t>
        </is>
      </c>
      <c r="B24" s="18" t="n">
        <v>0.1</v>
      </c>
    </row>
    <row r="25"/>
    <row r="26">
      <c r="A26" s="16" t="inlineStr">
        <is>
          <t>Seasonality Weights (must total 100%)</t>
        </is>
      </c>
      <c r="B26" s="20" t="inlineStr">
        <is>
          <t>Jan</t>
        </is>
      </c>
      <c r="C26" s="20" t="inlineStr">
        <is>
          <t>Feb</t>
        </is>
      </c>
      <c r="D26" s="20" t="inlineStr">
        <is>
          <t>Mar</t>
        </is>
      </c>
      <c r="E26" s="20" t="inlineStr">
        <is>
          <t>Apr</t>
        </is>
      </c>
      <c r="F26" s="20" t="inlineStr">
        <is>
          <t>May</t>
        </is>
      </c>
      <c r="G26" s="20" t="inlineStr">
        <is>
          <t>Jun</t>
        </is>
      </c>
      <c r="H26" s="20" t="inlineStr">
        <is>
          <t>Jul</t>
        </is>
      </c>
      <c r="I26" s="20" t="inlineStr">
        <is>
          <t>Aug</t>
        </is>
      </c>
      <c r="J26" s="20" t="inlineStr">
        <is>
          <t>Sep</t>
        </is>
      </c>
      <c r="K26" s="20" t="inlineStr">
        <is>
          <t>Oct</t>
        </is>
      </c>
      <c r="L26" s="20" t="inlineStr">
        <is>
          <t>Nov</t>
        </is>
      </c>
      <c r="M26" s="20" t="inlineStr">
        <is>
          <t>Dec</t>
        </is>
      </c>
    </row>
    <row r="27">
      <c r="B27" s="21" t="n">
        <v>0.08333333333333333</v>
      </c>
      <c r="C27" s="21" t="n">
        <v>0.08333333333333333</v>
      </c>
      <c r="D27" s="21" t="n">
        <v>0.08333333333333333</v>
      </c>
      <c r="E27" s="21" t="n">
        <v>0.08333333333333333</v>
      </c>
      <c r="F27" s="21" t="n">
        <v>0.08333333333333333</v>
      </c>
      <c r="G27" s="21" t="n">
        <v>0.08333333333333333</v>
      </c>
      <c r="H27" s="21" t="n">
        <v>0.08333333333333333</v>
      </c>
      <c r="I27" s="21" t="n">
        <v>0.08333333333333333</v>
      </c>
      <c r="J27" s="21" t="n">
        <v>0.08333333333333333</v>
      </c>
      <c r="K27" s="21" t="n">
        <v>0.08333333333333333</v>
      </c>
      <c r="L27" s="21" t="n">
        <v>0.08333333333333333</v>
      </c>
      <c r="M27" s="21" t="n">
        <v>0.08333333333333333</v>
      </c>
    </row>
    <row r="28">
      <c r="A28" s="16" t="inlineStr">
        <is>
          <t>Monthly Overhead Line Items</t>
        </is>
      </c>
    </row>
    <row r="29">
      <c r="A29" s="19" t="inlineStr">
        <is>
          <t xml:space="preserve">  Rent / Office</t>
        </is>
      </c>
      <c r="B29" s="17" t="n">
        <v>8240</v>
      </c>
    </row>
    <row r="30">
      <c r="A30" s="19" t="inlineStr">
        <is>
          <t xml:space="preserve">  Insurance (GL, WC, Vehicle)</t>
        </is>
      </c>
      <c r="B30" s="17" t="n">
        <v>12360</v>
      </c>
    </row>
    <row r="31">
      <c r="A31" s="19" t="inlineStr">
        <is>
          <t xml:space="preserve">  Vehicle Lease / Fuel</t>
        </is>
      </c>
      <c r="B31" s="17" t="n">
        <v>10300</v>
      </c>
    </row>
    <row r="32">
      <c r="A32" s="19" t="inlineStr">
        <is>
          <t xml:space="preserve">  Tools &amp; Equipment</t>
        </is>
      </c>
      <c r="B32" s="17" t="n">
        <v>4120</v>
      </c>
    </row>
    <row r="33">
      <c r="A33" s="19" t="inlineStr">
        <is>
          <t xml:space="preserve">  Admin Salaries</t>
        </is>
      </c>
      <c r="B33" s="17" t="n">
        <v>20600</v>
      </c>
    </row>
    <row r="34">
      <c r="A34" s="19" t="inlineStr">
        <is>
          <t xml:space="preserve">  Software / IT</t>
        </is>
      </c>
      <c r="B34" s="17" t="n">
        <v>2884</v>
      </c>
    </row>
    <row r="35">
      <c r="A35" s="19" t="inlineStr">
        <is>
          <t xml:space="preserve">  Professional Fees (Legal, Acct)</t>
        </is>
      </c>
      <c r="B35" s="17" t="n">
        <v>3296</v>
      </c>
    </row>
    <row r="36">
      <c r="A36" s="19" t="inlineStr">
        <is>
          <t xml:space="preserve">  Marketing / Biz Dev</t>
        </is>
      </c>
      <c r="B36" s="17" t="n">
        <v>4120</v>
      </c>
    </row>
    <row r="37">
      <c r="A37" s="19" t="inlineStr">
        <is>
          <t xml:space="preserve">  Utilities</t>
        </is>
      </c>
      <c r="B37" s="17" t="n">
        <v>2060</v>
      </c>
    </row>
    <row r="38">
      <c r="A38" s="19" t="inlineStr">
        <is>
          <t xml:space="preserve">  Office Supplies</t>
        </is>
      </c>
      <c r="B38" s="17" t="n">
        <v>1236</v>
      </c>
    </row>
    <row r="39">
      <c r="A39" s="19" t="inlineStr">
        <is>
          <t xml:space="preserve">  Permits &amp; Licenses</t>
        </is>
      </c>
      <c r="B39" s="17" t="n">
        <v>1648</v>
      </c>
    </row>
    <row r="40">
      <c r="A40" s="19" t="inlineStr">
        <is>
          <t xml:space="preserve">  Training &amp; Certifications</t>
        </is>
      </c>
      <c r="B40" s="17" t="n">
        <v>1236</v>
      </c>
    </row>
    <row r="41">
      <c r="A41" s="16" t="inlineStr">
        <is>
          <t xml:space="preserve">  Total Overhead (monthly)</t>
        </is>
      </c>
      <c r="B41" s="22">
        <f>$B$29+$B$30+$B$31+$B$32+$B$33+$B$34+$B$35+$B$36+$B$37+$B$38+$B$39+$B$40</f>
        <v/>
      </c>
    </row>
    <row r="42"/>
    <row r="43">
      <c r="A43" s="23" t="inlineStr">
        <is>
          <t>ARE YOU ON TRACK? (KPIs -- YEAR TO DATE)</t>
        </is>
      </c>
      <c r="B43" s="24" t="n"/>
      <c r="C43" s="24" t="n"/>
      <c r="D43" s="24" t="n"/>
      <c r="E43" s="24" t="n"/>
      <c r="F43" s="24" t="n"/>
    </row>
    <row r="44">
      <c r="A44" s="25" t="inlineStr">
        <is>
          <t>Metric</t>
        </is>
      </c>
      <c r="B44" s="25" t="inlineStr">
        <is>
          <t>Actual</t>
        </is>
      </c>
      <c r="C44" s="25" t="inlineStr">
        <is>
          <t>Target</t>
        </is>
      </c>
      <c r="D44" s="25" t="inlineStr">
        <is>
          <t>Variance</t>
        </is>
      </c>
      <c r="E44" s="25" t="inlineStr">
        <is>
          <t>Status</t>
        </is>
      </c>
    </row>
    <row r="45">
      <c r="A45" s="26" t="inlineStr">
        <is>
          <t>Profit Margin % (Gross Margin)</t>
        </is>
      </c>
      <c r="B45" s="27">
        <f>IF(AY57=0,"",AY66/AY57)</f>
        <v/>
      </c>
      <c r="C45" s="27">
        <f>$B$16</f>
        <v/>
      </c>
      <c r="D45" s="28">
        <f>IF(B45="","",B45-C45)</f>
        <v/>
      </c>
      <c r="E45" s="29">
        <f>IF(B45="","",IF(B45&gt;=C45,"On Track","Below Target"))</f>
        <v/>
      </c>
    </row>
    <row r="46">
      <c r="A46" s="26" t="inlineStr">
        <is>
          <t>Profit Before Taxes % (EBITDA)</t>
        </is>
      </c>
      <c r="B46" s="27">
        <f>IF(AY57=0,"",AY85/AY57)</f>
        <v/>
      </c>
      <c r="C46" s="27">
        <f>$B$17</f>
        <v/>
      </c>
      <c r="D46" s="28">
        <f>IF(B46="","",B46-C46)</f>
        <v/>
      </c>
      <c r="E46" s="29">
        <f>IF(B46="","",IF(B46&gt;=C46,"On Track","Below Target"))</f>
        <v/>
      </c>
    </row>
    <row r="47">
      <c r="A47" s="26" t="inlineStr">
        <is>
          <t>Labor as % of Revenue</t>
        </is>
      </c>
      <c r="B47" s="27">
        <f>IF(AY57=0,"",AY60/AY57)</f>
        <v/>
      </c>
      <c r="C47" s="27">
        <f>$B$18</f>
        <v/>
      </c>
      <c r="D47" s="28">
        <f>IF(B47="","",B47-C47)</f>
        <v/>
      </c>
      <c r="E47" s="29">
        <f>IF(B47="","",IF(B47&lt;=C47,"On Track","Above Target"))</f>
        <v/>
      </c>
    </row>
    <row r="48">
      <c r="A48" s="26" t="inlineStr">
        <is>
          <t>Overhead as % of Revenue</t>
        </is>
      </c>
      <c r="B48" s="27">
        <f>IF(AY57=0,"",AY82/AY57)</f>
        <v/>
      </c>
      <c r="C48" s="27" t="n">
        <v>0.2</v>
      </c>
      <c r="D48" s="28">
        <f>IF(B48="","",B48-C48)</f>
        <v/>
      </c>
      <c r="E48" s="29">
        <f>IF(B48="","",IF(B48&lt;=C48,"On Track","Above Target"))</f>
        <v/>
      </c>
    </row>
    <row r="49"/>
    <row r="50">
      <c r="A50" s="30" t="inlineStr"/>
      <c r="B50" s="31" t="inlineStr">
        <is>
          <t>Jan</t>
        </is>
      </c>
      <c r="C50" s="30" t="n"/>
      <c r="D50" s="30" t="n"/>
      <c r="E50" s="30" t="n"/>
      <c r="F50" s="31" t="inlineStr">
        <is>
          <t>Feb</t>
        </is>
      </c>
      <c r="G50" s="30" t="n"/>
      <c r="H50" s="30" t="n"/>
      <c r="I50" s="30" t="n"/>
      <c r="J50" s="31" t="inlineStr">
        <is>
          <t>Mar</t>
        </is>
      </c>
      <c r="K50" s="30" t="n"/>
      <c r="L50" s="30" t="n"/>
      <c r="M50" s="30" t="n"/>
      <c r="N50" s="31" t="inlineStr">
        <is>
          <t>Apr</t>
        </is>
      </c>
      <c r="O50" s="30" t="n"/>
      <c r="P50" s="30" t="n"/>
      <c r="Q50" s="30" t="n"/>
      <c r="R50" s="31" t="inlineStr">
        <is>
          <t>May</t>
        </is>
      </c>
      <c r="S50" s="30" t="n"/>
      <c r="T50" s="30" t="n"/>
      <c r="U50" s="30" t="n"/>
      <c r="V50" s="31" t="inlineStr">
        <is>
          <t>Jun</t>
        </is>
      </c>
      <c r="W50" s="30" t="n"/>
      <c r="X50" s="30" t="n"/>
      <c r="Y50" s="30" t="n"/>
      <c r="Z50" s="31" t="inlineStr">
        <is>
          <t>Jul</t>
        </is>
      </c>
      <c r="AA50" s="30" t="n"/>
      <c r="AB50" s="30" t="n"/>
      <c r="AC50" s="30" t="n"/>
      <c r="AD50" s="31" t="inlineStr">
        <is>
          <t>Aug</t>
        </is>
      </c>
      <c r="AE50" s="30" t="n"/>
      <c r="AF50" s="30" t="n"/>
      <c r="AG50" s="30" t="n"/>
      <c r="AH50" s="31" t="inlineStr">
        <is>
          <t>Sep</t>
        </is>
      </c>
      <c r="AI50" s="30" t="n"/>
      <c r="AJ50" s="30" t="n"/>
      <c r="AK50" s="30" t="n"/>
      <c r="AL50" s="31" t="inlineStr">
        <is>
          <t>Oct</t>
        </is>
      </c>
      <c r="AM50" s="30" t="n"/>
      <c r="AN50" s="30" t="n"/>
      <c r="AO50" s="30" t="n"/>
      <c r="AP50" s="31" t="inlineStr">
        <is>
          <t>Nov</t>
        </is>
      </c>
      <c r="AQ50" s="30" t="n"/>
      <c r="AR50" s="30" t="n"/>
      <c r="AS50" s="30" t="n"/>
      <c r="AT50" s="31" t="inlineStr">
        <is>
          <t>Dec</t>
        </is>
      </c>
      <c r="AU50" s="30" t="n"/>
      <c r="AV50" s="30" t="n"/>
      <c r="AW50" s="30" t="n"/>
      <c r="AX50" s="31" t="inlineStr">
        <is>
          <t>YTD TOTAL</t>
        </is>
      </c>
      <c r="AY50" s="30" t="n"/>
    </row>
    <row r="51">
      <c r="A51" s="32" t="inlineStr">
        <is>
          <t>Line Item</t>
        </is>
      </c>
      <c r="B51" s="33" t="inlineStr">
        <is>
          <t>Budget</t>
        </is>
      </c>
      <c r="C51" s="34" t="inlineStr">
        <is>
          <t>Actual</t>
        </is>
      </c>
      <c r="D51" s="33" t="inlineStr">
        <is>
          <t>Var $</t>
        </is>
      </c>
      <c r="E51" s="33" t="inlineStr">
        <is>
          <t>Var %</t>
        </is>
      </c>
      <c r="F51" s="33" t="inlineStr">
        <is>
          <t>Budget</t>
        </is>
      </c>
      <c r="G51" s="34" t="inlineStr">
        <is>
          <t>Actual</t>
        </is>
      </c>
      <c r="H51" s="33" t="inlineStr">
        <is>
          <t>Var $</t>
        </is>
      </c>
      <c r="I51" s="33" t="inlineStr">
        <is>
          <t>Var %</t>
        </is>
      </c>
      <c r="J51" s="33" t="inlineStr">
        <is>
          <t>Budget</t>
        </is>
      </c>
      <c r="K51" s="34" t="inlineStr">
        <is>
          <t>Actual</t>
        </is>
      </c>
      <c r="L51" s="33" t="inlineStr">
        <is>
          <t>Var $</t>
        </is>
      </c>
      <c r="M51" s="33" t="inlineStr">
        <is>
          <t>Var %</t>
        </is>
      </c>
      <c r="N51" s="33" t="inlineStr">
        <is>
          <t>Budget</t>
        </is>
      </c>
      <c r="O51" s="34" t="inlineStr">
        <is>
          <t>Actual</t>
        </is>
      </c>
      <c r="P51" s="33" t="inlineStr">
        <is>
          <t>Var $</t>
        </is>
      </c>
      <c r="Q51" s="33" t="inlineStr">
        <is>
          <t>Var %</t>
        </is>
      </c>
      <c r="R51" s="33" t="inlineStr">
        <is>
          <t>Budget</t>
        </is>
      </c>
      <c r="S51" s="34" t="inlineStr">
        <is>
          <t>Actual</t>
        </is>
      </c>
      <c r="T51" s="33" t="inlineStr">
        <is>
          <t>Var $</t>
        </is>
      </c>
      <c r="U51" s="33" t="inlineStr">
        <is>
          <t>Var %</t>
        </is>
      </c>
      <c r="V51" s="33" t="inlineStr">
        <is>
          <t>Budget</t>
        </is>
      </c>
      <c r="W51" s="34" t="inlineStr">
        <is>
          <t>Actual</t>
        </is>
      </c>
      <c r="X51" s="33" t="inlineStr">
        <is>
          <t>Var $</t>
        </is>
      </c>
      <c r="Y51" s="33" t="inlineStr">
        <is>
          <t>Var %</t>
        </is>
      </c>
      <c r="Z51" s="33" t="inlineStr">
        <is>
          <t>Budget</t>
        </is>
      </c>
      <c r="AA51" s="34" t="inlineStr">
        <is>
          <t>Actual</t>
        </is>
      </c>
      <c r="AB51" s="33" t="inlineStr">
        <is>
          <t>Var $</t>
        </is>
      </c>
      <c r="AC51" s="33" t="inlineStr">
        <is>
          <t>Var %</t>
        </is>
      </c>
      <c r="AD51" s="33" t="inlineStr">
        <is>
          <t>Budget</t>
        </is>
      </c>
      <c r="AE51" s="34" t="inlineStr">
        <is>
          <t>Actual</t>
        </is>
      </c>
      <c r="AF51" s="33" t="inlineStr">
        <is>
          <t>Var $</t>
        </is>
      </c>
      <c r="AG51" s="33" t="inlineStr">
        <is>
          <t>Var %</t>
        </is>
      </c>
      <c r="AH51" s="33" t="inlineStr">
        <is>
          <t>Budget</t>
        </is>
      </c>
      <c r="AI51" s="34" t="inlineStr">
        <is>
          <t>Actual</t>
        </is>
      </c>
      <c r="AJ51" s="33" t="inlineStr">
        <is>
          <t>Var $</t>
        </is>
      </c>
      <c r="AK51" s="33" t="inlineStr">
        <is>
          <t>Var %</t>
        </is>
      </c>
      <c r="AL51" s="33" t="inlineStr">
        <is>
          <t>Budget</t>
        </is>
      </c>
      <c r="AM51" s="34" t="inlineStr">
        <is>
          <t>Actual</t>
        </is>
      </c>
      <c r="AN51" s="33" t="inlineStr">
        <is>
          <t>Var $</t>
        </is>
      </c>
      <c r="AO51" s="33" t="inlineStr">
        <is>
          <t>Var %</t>
        </is>
      </c>
      <c r="AP51" s="33" t="inlineStr">
        <is>
          <t>Budget</t>
        </is>
      </c>
      <c r="AQ51" s="34" t="inlineStr">
        <is>
          <t>Actual</t>
        </is>
      </c>
      <c r="AR51" s="33" t="inlineStr">
        <is>
          <t>Var $</t>
        </is>
      </c>
      <c r="AS51" s="33" t="inlineStr">
        <is>
          <t>Var %</t>
        </is>
      </c>
      <c r="AT51" s="33" t="inlineStr">
        <is>
          <t>Budget</t>
        </is>
      </c>
      <c r="AU51" s="34" t="inlineStr">
        <is>
          <t>Actual</t>
        </is>
      </c>
      <c r="AV51" s="33" t="inlineStr">
        <is>
          <t>Var $</t>
        </is>
      </c>
      <c r="AW51" s="33" t="inlineStr">
        <is>
          <t>Var %</t>
        </is>
      </c>
      <c r="AX51" s="35" t="inlineStr">
        <is>
          <t>Budget</t>
        </is>
      </c>
      <c r="AY51" s="36" t="inlineStr">
        <is>
          <t>Actual</t>
        </is>
      </c>
    </row>
    <row r="52">
      <c r="A52" s="37" t="inlineStr">
        <is>
          <t>REVENUE</t>
        </is>
      </c>
      <c r="B52" s="38" t="n"/>
      <c r="C52" s="38" t="n"/>
      <c r="D52" s="38" t="n"/>
      <c r="E52" s="38" t="n"/>
      <c r="F52" s="38" t="n"/>
      <c r="G52" s="38" t="n"/>
      <c r="H52" s="38" t="n"/>
      <c r="I52" s="38" t="n"/>
      <c r="J52" s="38" t="n"/>
      <c r="K52" s="38" t="n"/>
      <c r="L52" s="38" t="n"/>
      <c r="M52" s="38" t="n"/>
      <c r="N52" s="38" t="n"/>
      <c r="O52" s="38" t="n"/>
      <c r="P52" s="38" t="n"/>
      <c r="Q52" s="38" t="n"/>
      <c r="R52" s="38" t="n"/>
      <c r="S52" s="38" t="n"/>
      <c r="T52" s="38" t="n"/>
      <c r="U52" s="38" t="n"/>
      <c r="V52" s="38" t="n"/>
      <c r="W52" s="38" t="n"/>
      <c r="X52" s="38" t="n"/>
      <c r="Y52" s="38" t="n"/>
      <c r="Z52" s="38" t="n"/>
      <c r="AA52" s="38" t="n"/>
      <c r="AB52" s="38" t="n"/>
      <c r="AC52" s="38" t="n"/>
      <c r="AD52" s="38" t="n"/>
      <c r="AE52" s="38" t="n"/>
      <c r="AF52" s="38" t="n"/>
      <c r="AG52" s="38" t="n"/>
      <c r="AH52" s="38" t="n"/>
      <c r="AI52" s="38" t="n"/>
      <c r="AJ52" s="38" t="n"/>
      <c r="AK52" s="38" t="n"/>
      <c r="AL52" s="38" t="n"/>
      <c r="AM52" s="38" t="n"/>
      <c r="AN52" s="38" t="n"/>
      <c r="AO52" s="38" t="n"/>
      <c r="AP52" s="38" t="n"/>
      <c r="AQ52" s="38" t="n"/>
      <c r="AR52" s="38" t="n"/>
      <c r="AS52" s="38" t="n"/>
      <c r="AT52" s="38" t="n"/>
      <c r="AU52" s="38" t="n"/>
      <c r="AV52" s="38" t="n"/>
      <c r="AW52" s="38" t="n"/>
      <c r="AX52" s="38" t="n"/>
      <c r="AY52" s="38" t="n"/>
    </row>
    <row r="53">
      <c r="A53" s="39" t="inlineStr">
        <is>
          <t xml:space="preserve">  Commercial</t>
        </is>
      </c>
      <c r="B53" s="40">
        <f>$B$11*12*B27*$B$21</f>
        <v/>
      </c>
      <c r="C53" s="41" t="n"/>
      <c r="D53" s="42">
        <f>IF(C53="","",C53-B53)</f>
        <v/>
      </c>
      <c r="E53" s="43">
        <f>IF(C53="","",IF(B53=0,0,(C53-B53)/ABS(B53)))</f>
        <v/>
      </c>
      <c r="F53" s="40">
        <f>$B$11*12*C27*$B$21</f>
        <v/>
      </c>
      <c r="G53" s="41" t="n"/>
      <c r="H53" s="42">
        <f>IF(G53="","",G53-F53)</f>
        <v/>
      </c>
      <c r="I53" s="43">
        <f>IF(G53="","",IF(F53=0,0,(G53-F53)/ABS(F53)))</f>
        <v/>
      </c>
      <c r="J53" s="40">
        <f>$B$11*12*D27*$B$21</f>
        <v/>
      </c>
      <c r="K53" s="41" t="n"/>
      <c r="L53" s="42">
        <f>IF(K53="","",K53-J53)</f>
        <v/>
      </c>
      <c r="M53" s="43">
        <f>IF(K53="","",IF(J53=0,0,(K53-J53)/ABS(J53)))</f>
        <v/>
      </c>
      <c r="N53" s="40">
        <f>$B$11*12*E27*$B$21</f>
        <v/>
      </c>
      <c r="O53" s="41" t="n"/>
      <c r="P53" s="42">
        <f>IF(O53="","",O53-N53)</f>
        <v/>
      </c>
      <c r="Q53" s="43">
        <f>IF(O53="","",IF(N53=0,0,(O53-N53)/ABS(N53)))</f>
        <v/>
      </c>
      <c r="R53" s="40">
        <f>$B$11*12*F27*$B$21</f>
        <v/>
      </c>
      <c r="S53" s="41" t="n"/>
      <c r="T53" s="42">
        <f>IF(S53="","",S53-R53)</f>
        <v/>
      </c>
      <c r="U53" s="43">
        <f>IF(S53="","",IF(R53=0,0,(S53-R53)/ABS(R53)))</f>
        <v/>
      </c>
      <c r="V53" s="40">
        <f>$B$11*12*G27*$B$21</f>
        <v/>
      </c>
      <c r="W53" s="41" t="n"/>
      <c r="X53" s="42">
        <f>IF(W53="","",W53-V53)</f>
        <v/>
      </c>
      <c r="Y53" s="43">
        <f>IF(W53="","",IF(V53=0,0,(W53-V53)/ABS(V53)))</f>
        <v/>
      </c>
      <c r="Z53" s="40">
        <f>$B$11*12*H27*$B$21</f>
        <v/>
      </c>
      <c r="AA53" s="41" t="n"/>
      <c r="AB53" s="42">
        <f>IF(AA53="","",AA53-Z53)</f>
        <v/>
      </c>
      <c r="AC53" s="43">
        <f>IF(AA53="","",IF(Z53=0,0,(AA53-Z53)/ABS(Z53)))</f>
        <v/>
      </c>
      <c r="AD53" s="40">
        <f>$B$11*12*I27*$B$21</f>
        <v/>
      </c>
      <c r="AE53" s="41" t="n"/>
      <c r="AF53" s="42">
        <f>IF(AE53="","",AE53-AD53)</f>
        <v/>
      </c>
      <c r="AG53" s="43">
        <f>IF(AE53="","",IF(AD53=0,0,(AE53-AD53)/ABS(AD53)))</f>
        <v/>
      </c>
      <c r="AH53" s="40">
        <f>$B$11*12*J27*$B$21</f>
        <v/>
      </c>
      <c r="AI53" s="41" t="n"/>
      <c r="AJ53" s="42">
        <f>IF(AI53="","",AI53-AH53)</f>
        <v/>
      </c>
      <c r="AK53" s="43">
        <f>IF(AI53="","",IF(AH53=0,0,(AI53-AH53)/ABS(AH53)))</f>
        <v/>
      </c>
      <c r="AL53" s="40">
        <f>$B$11*12*K27*$B$21</f>
        <v/>
      </c>
      <c r="AM53" s="41" t="n"/>
      <c r="AN53" s="42">
        <f>IF(AM53="","",AM53-AL53)</f>
        <v/>
      </c>
      <c r="AO53" s="43">
        <f>IF(AM53="","",IF(AL53=0,0,(AM53-AL53)/ABS(AL53)))</f>
        <v/>
      </c>
      <c r="AP53" s="40">
        <f>$B$11*12*L27*$B$21</f>
        <v/>
      </c>
      <c r="AQ53" s="41" t="n"/>
      <c r="AR53" s="42">
        <f>IF(AQ53="","",AQ53-AP53)</f>
        <v/>
      </c>
      <c r="AS53" s="43">
        <f>IF(AQ53="","",IF(AP53=0,0,(AQ53-AP53)/ABS(AP53)))</f>
        <v/>
      </c>
      <c r="AT53" s="40">
        <f>$B$11*12*M27*$B$21</f>
        <v/>
      </c>
      <c r="AU53" s="41" t="n"/>
      <c r="AV53" s="42">
        <f>IF(AU53="","",AU53-AT53)</f>
        <v/>
      </c>
      <c r="AW53" s="43">
        <f>IF(AU53="","",IF(AT53=0,0,(AU53-AT53)/ABS(AT53)))</f>
        <v/>
      </c>
      <c r="AX53" s="40">
        <f>B53+F53+J53+N53+R53+V53+Z53+AD53+AH53+AL53+AP53+AT53</f>
        <v/>
      </c>
      <c r="AY53" s="41">
        <f>SUM(C53,G53,K53,O53,S53,W53,AA53,AE53,AI53,AM53,AQ53,AU53)</f>
        <v/>
      </c>
    </row>
    <row r="54">
      <c r="A54" s="39" t="inlineStr">
        <is>
          <t xml:space="preserve">  Data Center</t>
        </is>
      </c>
      <c r="B54" s="40">
        <f>$B$11*12*B27*$B$22</f>
        <v/>
      </c>
      <c r="C54" s="41" t="n"/>
      <c r="D54" s="42">
        <f>IF(C54="","",C54-B54)</f>
        <v/>
      </c>
      <c r="E54" s="43">
        <f>IF(C54="","",IF(B54=0,0,(C54-B54)/ABS(B54)))</f>
        <v/>
      </c>
      <c r="F54" s="40">
        <f>$B$11*12*C27*$B$22</f>
        <v/>
      </c>
      <c r="G54" s="41" t="n"/>
      <c r="H54" s="42">
        <f>IF(G54="","",G54-F54)</f>
        <v/>
      </c>
      <c r="I54" s="43">
        <f>IF(G54="","",IF(F54=0,0,(G54-F54)/ABS(F54)))</f>
        <v/>
      </c>
      <c r="J54" s="40">
        <f>$B$11*12*D27*$B$22</f>
        <v/>
      </c>
      <c r="K54" s="41" t="n"/>
      <c r="L54" s="42">
        <f>IF(K54="","",K54-J54)</f>
        <v/>
      </c>
      <c r="M54" s="43">
        <f>IF(K54="","",IF(J54=0,0,(K54-J54)/ABS(J54)))</f>
        <v/>
      </c>
      <c r="N54" s="40">
        <f>$B$11*12*E27*$B$22</f>
        <v/>
      </c>
      <c r="O54" s="41" t="n"/>
      <c r="P54" s="42">
        <f>IF(O54="","",O54-N54)</f>
        <v/>
      </c>
      <c r="Q54" s="43">
        <f>IF(O54="","",IF(N54=0,0,(O54-N54)/ABS(N54)))</f>
        <v/>
      </c>
      <c r="R54" s="40">
        <f>$B$11*12*F27*$B$22</f>
        <v/>
      </c>
      <c r="S54" s="41" t="n"/>
      <c r="T54" s="42">
        <f>IF(S54="","",S54-R54)</f>
        <v/>
      </c>
      <c r="U54" s="43">
        <f>IF(S54="","",IF(R54=0,0,(S54-R54)/ABS(R54)))</f>
        <v/>
      </c>
      <c r="V54" s="40">
        <f>$B$11*12*G27*$B$22</f>
        <v/>
      </c>
      <c r="W54" s="41" t="n"/>
      <c r="X54" s="42">
        <f>IF(W54="","",W54-V54)</f>
        <v/>
      </c>
      <c r="Y54" s="43">
        <f>IF(W54="","",IF(V54=0,0,(W54-V54)/ABS(V54)))</f>
        <v/>
      </c>
      <c r="Z54" s="40">
        <f>$B$11*12*H27*$B$22</f>
        <v/>
      </c>
      <c r="AA54" s="41" t="n"/>
      <c r="AB54" s="42">
        <f>IF(AA54="","",AA54-Z54)</f>
        <v/>
      </c>
      <c r="AC54" s="43">
        <f>IF(AA54="","",IF(Z54=0,0,(AA54-Z54)/ABS(Z54)))</f>
        <v/>
      </c>
      <c r="AD54" s="40">
        <f>$B$11*12*I27*$B$22</f>
        <v/>
      </c>
      <c r="AE54" s="41" t="n"/>
      <c r="AF54" s="42">
        <f>IF(AE54="","",AE54-AD54)</f>
        <v/>
      </c>
      <c r="AG54" s="43">
        <f>IF(AE54="","",IF(AD54=0,0,(AE54-AD54)/ABS(AD54)))</f>
        <v/>
      </c>
      <c r="AH54" s="40">
        <f>$B$11*12*J27*$B$22</f>
        <v/>
      </c>
      <c r="AI54" s="41" t="n"/>
      <c r="AJ54" s="42">
        <f>IF(AI54="","",AI54-AH54)</f>
        <v/>
      </c>
      <c r="AK54" s="43">
        <f>IF(AI54="","",IF(AH54=0,0,(AI54-AH54)/ABS(AH54)))</f>
        <v/>
      </c>
      <c r="AL54" s="40">
        <f>$B$11*12*K27*$B$22</f>
        <v/>
      </c>
      <c r="AM54" s="41" t="n"/>
      <c r="AN54" s="42">
        <f>IF(AM54="","",AM54-AL54)</f>
        <v/>
      </c>
      <c r="AO54" s="43">
        <f>IF(AM54="","",IF(AL54=0,0,(AM54-AL54)/ABS(AL54)))</f>
        <v/>
      </c>
      <c r="AP54" s="40">
        <f>$B$11*12*L27*$B$22</f>
        <v/>
      </c>
      <c r="AQ54" s="41" t="n"/>
      <c r="AR54" s="42">
        <f>IF(AQ54="","",AQ54-AP54)</f>
        <v/>
      </c>
      <c r="AS54" s="43">
        <f>IF(AQ54="","",IF(AP54=0,0,(AQ54-AP54)/ABS(AP54)))</f>
        <v/>
      </c>
      <c r="AT54" s="40">
        <f>$B$11*12*M27*$B$22</f>
        <v/>
      </c>
      <c r="AU54" s="41" t="n"/>
      <c r="AV54" s="42">
        <f>IF(AU54="","",AU54-AT54)</f>
        <v/>
      </c>
      <c r="AW54" s="43">
        <f>IF(AU54="","",IF(AT54=0,0,(AU54-AT54)/ABS(AT54)))</f>
        <v/>
      </c>
      <c r="AX54" s="40">
        <f>B54+F54+J54+N54+R54+V54+Z54+AD54+AH54+AL54+AP54+AT54</f>
        <v/>
      </c>
      <c r="AY54" s="41">
        <f>SUM(C54,G54,K54,O54,S54,W54,AA54,AE54,AI54,AM54,AQ54,AU54)</f>
        <v/>
      </c>
    </row>
    <row r="55">
      <c r="A55" s="39" t="inlineStr">
        <is>
          <t xml:space="preserve">  Residential</t>
        </is>
      </c>
      <c r="B55" s="40">
        <f>$B$11*12*B27*$B$23</f>
        <v/>
      </c>
      <c r="C55" s="41" t="n"/>
      <c r="D55" s="42">
        <f>IF(C55="","",C55-B55)</f>
        <v/>
      </c>
      <c r="E55" s="43">
        <f>IF(C55="","",IF(B55=0,0,(C55-B55)/ABS(B55)))</f>
        <v/>
      </c>
      <c r="F55" s="40">
        <f>$B$11*12*C27*$B$23</f>
        <v/>
      </c>
      <c r="G55" s="41" t="n"/>
      <c r="H55" s="42">
        <f>IF(G55="","",G55-F55)</f>
        <v/>
      </c>
      <c r="I55" s="43">
        <f>IF(G55="","",IF(F55=0,0,(G55-F55)/ABS(F55)))</f>
        <v/>
      </c>
      <c r="J55" s="40">
        <f>$B$11*12*D27*$B$23</f>
        <v/>
      </c>
      <c r="K55" s="41" t="n"/>
      <c r="L55" s="42">
        <f>IF(K55="","",K55-J55)</f>
        <v/>
      </c>
      <c r="M55" s="43">
        <f>IF(K55="","",IF(J55=0,0,(K55-J55)/ABS(J55)))</f>
        <v/>
      </c>
      <c r="N55" s="40">
        <f>$B$11*12*E27*$B$23</f>
        <v/>
      </c>
      <c r="O55" s="41" t="n"/>
      <c r="P55" s="42">
        <f>IF(O55="","",O55-N55)</f>
        <v/>
      </c>
      <c r="Q55" s="43">
        <f>IF(O55="","",IF(N55=0,0,(O55-N55)/ABS(N55)))</f>
        <v/>
      </c>
      <c r="R55" s="40">
        <f>$B$11*12*F27*$B$23</f>
        <v/>
      </c>
      <c r="S55" s="41" t="n"/>
      <c r="T55" s="42">
        <f>IF(S55="","",S55-R55)</f>
        <v/>
      </c>
      <c r="U55" s="43">
        <f>IF(S55="","",IF(R55=0,0,(S55-R55)/ABS(R55)))</f>
        <v/>
      </c>
      <c r="V55" s="40">
        <f>$B$11*12*G27*$B$23</f>
        <v/>
      </c>
      <c r="W55" s="41" t="n"/>
      <c r="X55" s="42">
        <f>IF(W55="","",W55-V55)</f>
        <v/>
      </c>
      <c r="Y55" s="43">
        <f>IF(W55="","",IF(V55=0,0,(W55-V55)/ABS(V55)))</f>
        <v/>
      </c>
      <c r="Z55" s="40">
        <f>$B$11*12*H27*$B$23</f>
        <v/>
      </c>
      <c r="AA55" s="41" t="n"/>
      <c r="AB55" s="42">
        <f>IF(AA55="","",AA55-Z55)</f>
        <v/>
      </c>
      <c r="AC55" s="43">
        <f>IF(AA55="","",IF(Z55=0,0,(AA55-Z55)/ABS(Z55)))</f>
        <v/>
      </c>
      <c r="AD55" s="40">
        <f>$B$11*12*I27*$B$23</f>
        <v/>
      </c>
      <c r="AE55" s="41" t="n"/>
      <c r="AF55" s="42">
        <f>IF(AE55="","",AE55-AD55)</f>
        <v/>
      </c>
      <c r="AG55" s="43">
        <f>IF(AE55="","",IF(AD55=0,0,(AE55-AD55)/ABS(AD55)))</f>
        <v/>
      </c>
      <c r="AH55" s="40">
        <f>$B$11*12*J27*$B$23</f>
        <v/>
      </c>
      <c r="AI55" s="41" t="n"/>
      <c r="AJ55" s="42">
        <f>IF(AI55="","",AI55-AH55)</f>
        <v/>
      </c>
      <c r="AK55" s="43">
        <f>IF(AI55="","",IF(AH55=0,0,(AI55-AH55)/ABS(AH55)))</f>
        <v/>
      </c>
      <c r="AL55" s="40">
        <f>$B$11*12*K27*$B$23</f>
        <v/>
      </c>
      <c r="AM55" s="41" t="n"/>
      <c r="AN55" s="42">
        <f>IF(AM55="","",AM55-AL55)</f>
        <v/>
      </c>
      <c r="AO55" s="43">
        <f>IF(AM55="","",IF(AL55=0,0,(AM55-AL55)/ABS(AL55)))</f>
        <v/>
      </c>
      <c r="AP55" s="40">
        <f>$B$11*12*L27*$B$23</f>
        <v/>
      </c>
      <c r="AQ55" s="41" t="n"/>
      <c r="AR55" s="42">
        <f>IF(AQ55="","",AQ55-AP55)</f>
        <v/>
      </c>
      <c r="AS55" s="43">
        <f>IF(AQ55="","",IF(AP55=0,0,(AQ55-AP55)/ABS(AP55)))</f>
        <v/>
      </c>
      <c r="AT55" s="40">
        <f>$B$11*12*M27*$B$23</f>
        <v/>
      </c>
      <c r="AU55" s="41" t="n"/>
      <c r="AV55" s="42">
        <f>IF(AU55="","",AU55-AT55)</f>
        <v/>
      </c>
      <c r="AW55" s="43">
        <f>IF(AU55="","",IF(AT55=0,0,(AU55-AT55)/ABS(AT55)))</f>
        <v/>
      </c>
      <c r="AX55" s="40">
        <f>B55+F55+J55+N55+R55+V55+Z55+AD55+AH55+AL55+AP55+AT55</f>
        <v/>
      </c>
      <c r="AY55" s="41">
        <f>SUM(C55,G55,K55,O55,S55,W55,AA55,AE55,AI55,AM55,AQ55,AU55)</f>
        <v/>
      </c>
    </row>
    <row r="56">
      <c r="A56" s="39" t="inlineStr">
        <is>
          <t xml:space="preserve">  Service Agreements</t>
        </is>
      </c>
      <c r="B56" s="40">
        <f>$B$11*12*B27*$B$24</f>
        <v/>
      </c>
      <c r="C56" s="41" t="n"/>
      <c r="D56" s="42">
        <f>IF(C56="","",C56-B56)</f>
        <v/>
      </c>
      <c r="E56" s="43">
        <f>IF(C56="","",IF(B56=0,0,(C56-B56)/ABS(B56)))</f>
        <v/>
      </c>
      <c r="F56" s="40">
        <f>$B$11*12*C27*$B$24</f>
        <v/>
      </c>
      <c r="G56" s="41" t="n"/>
      <c r="H56" s="42">
        <f>IF(G56="","",G56-F56)</f>
        <v/>
      </c>
      <c r="I56" s="43">
        <f>IF(G56="","",IF(F56=0,0,(G56-F56)/ABS(F56)))</f>
        <v/>
      </c>
      <c r="J56" s="40">
        <f>$B$11*12*D27*$B$24</f>
        <v/>
      </c>
      <c r="K56" s="41" t="n"/>
      <c r="L56" s="42">
        <f>IF(K56="","",K56-J56)</f>
        <v/>
      </c>
      <c r="M56" s="43">
        <f>IF(K56="","",IF(J56=0,0,(K56-J56)/ABS(J56)))</f>
        <v/>
      </c>
      <c r="N56" s="40">
        <f>$B$11*12*E27*$B$24</f>
        <v/>
      </c>
      <c r="O56" s="41" t="n"/>
      <c r="P56" s="42">
        <f>IF(O56="","",O56-N56)</f>
        <v/>
      </c>
      <c r="Q56" s="43">
        <f>IF(O56="","",IF(N56=0,0,(O56-N56)/ABS(N56)))</f>
        <v/>
      </c>
      <c r="R56" s="40">
        <f>$B$11*12*F27*$B$24</f>
        <v/>
      </c>
      <c r="S56" s="41" t="n"/>
      <c r="T56" s="42">
        <f>IF(S56="","",S56-R56)</f>
        <v/>
      </c>
      <c r="U56" s="43">
        <f>IF(S56="","",IF(R56=0,0,(S56-R56)/ABS(R56)))</f>
        <v/>
      </c>
      <c r="V56" s="40">
        <f>$B$11*12*G27*$B$24</f>
        <v/>
      </c>
      <c r="W56" s="41" t="n"/>
      <c r="X56" s="42">
        <f>IF(W56="","",W56-V56)</f>
        <v/>
      </c>
      <c r="Y56" s="43">
        <f>IF(W56="","",IF(V56=0,0,(W56-V56)/ABS(V56)))</f>
        <v/>
      </c>
      <c r="Z56" s="40">
        <f>$B$11*12*H27*$B$24</f>
        <v/>
      </c>
      <c r="AA56" s="41" t="n"/>
      <c r="AB56" s="42">
        <f>IF(AA56="","",AA56-Z56)</f>
        <v/>
      </c>
      <c r="AC56" s="43">
        <f>IF(AA56="","",IF(Z56=0,0,(AA56-Z56)/ABS(Z56)))</f>
        <v/>
      </c>
      <c r="AD56" s="40">
        <f>$B$11*12*I27*$B$24</f>
        <v/>
      </c>
      <c r="AE56" s="41" t="n"/>
      <c r="AF56" s="42">
        <f>IF(AE56="","",AE56-AD56)</f>
        <v/>
      </c>
      <c r="AG56" s="43">
        <f>IF(AE56="","",IF(AD56=0,0,(AE56-AD56)/ABS(AD56)))</f>
        <v/>
      </c>
      <c r="AH56" s="40">
        <f>$B$11*12*J27*$B$24</f>
        <v/>
      </c>
      <c r="AI56" s="41" t="n"/>
      <c r="AJ56" s="42">
        <f>IF(AI56="","",AI56-AH56)</f>
        <v/>
      </c>
      <c r="AK56" s="43">
        <f>IF(AI56="","",IF(AH56=0,0,(AI56-AH56)/ABS(AH56)))</f>
        <v/>
      </c>
      <c r="AL56" s="40">
        <f>$B$11*12*K27*$B$24</f>
        <v/>
      </c>
      <c r="AM56" s="41" t="n"/>
      <c r="AN56" s="42">
        <f>IF(AM56="","",AM56-AL56)</f>
        <v/>
      </c>
      <c r="AO56" s="43">
        <f>IF(AM56="","",IF(AL56=0,0,(AM56-AL56)/ABS(AL56)))</f>
        <v/>
      </c>
      <c r="AP56" s="40">
        <f>$B$11*12*L27*$B$24</f>
        <v/>
      </c>
      <c r="AQ56" s="41" t="n"/>
      <c r="AR56" s="42">
        <f>IF(AQ56="","",AQ56-AP56)</f>
        <v/>
      </c>
      <c r="AS56" s="43">
        <f>IF(AQ56="","",IF(AP56=0,0,(AQ56-AP56)/ABS(AP56)))</f>
        <v/>
      </c>
      <c r="AT56" s="40">
        <f>$B$11*12*M27*$B$24</f>
        <v/>
      </c>
      <c r="AU56" s="41" t="n"/>
      <c r="AV56" s="42">
        <f>IF(AU56="","",AU56-AT56)</f>
        <v/>
      </c>
      <c r="AW56" s="43">
        <f>IF(AU56="","",IF(AT56=0,0,(AU56-AT56)/ABS(AT56)))</f>
        <v/>
      </c>
      <c r="AX56" s="40">
        <f>B56+F56+J56+N56+R56+V56+Z56+AD56+AH56+AL56+AP56+AT56</f>
        <v/>
      </c>
      <c r="AY56" s="41">
        <f>SUM(C56,G56,K56,O56,S56,W56,AA56,AE56,AI56,AM56,AQ56,AU56)</f>
        <v/>
      </c>
    </row>
    <row r="57">
      <c r="A57" s="26" t="inlineStr">
        <is>
          <t>TOTAL REVENUE</t>
        </is>
      </c>
      <c r="B57" s="44">
        <f>B53+B54+B55+B56</f>
        <v/>
      </c>
      <c r="C57" s="41" t="n"/>
      <c r="D57" s="45">
        <f>IF(C57="","",C57-B57)</f>
        <v/>
      </c>
      <c r="E57" s="46">
        <f>IF(C57="","",IF(B57=0,0,(C57-B57)/ABS(B57)))</f>
        <v/>
      </c>
      <c r="F57" s="44">
        <f>F53+F54+F55+F56</f>
        <v/>
      </c>
      <c r="G57" s="41" t="n"/>
      <c r="H57" s="45">
        <f>IF(G57="","",G57-F57)</f>
        <v/>
      </c>
      <c r="I57" s="46">
        <f>IF(G57="","",IF(F57=0,0,(G57-F57)/ABS(F57)))</f>
        <v/>
      </c>
      <c r="J57" s="44">
        <f>J53+J54+J55+J56</f>
        <v/>
      </c>
      <c r="K57" s="41" t="n"/>
      <c r="L57" s="45">
        <f>IF(K57="","",K57-J57)</f>
        <v/>
      </c>
      <c r="M57" s="46">
        <f>IF(K57="","",IF(J57=0,0,(K57-J57)/ABS(J57)))</f>
        <v/>
      </c>
      <c r="N57" s="44">
        <f>N53+N54+N55+N56</f>
        <v/>
      </c>
      <c r="O57" s="41" t="n"/>
      <c r="P57" s="45">
        <f>IF(O57="","",O57-N57)</f>
        <v/>
      </c>
      <c r="Q57" s="46">
        <f>IF(O57="","",IF(N57=0,0,(O57-N57)/ABS(N57)))</f>
        <v/>
      </c>
      <c r="R57" s="44">
        <f>R53+R54+R55+R56</f>
        <v/>
      </c>
      <c r="S57" s="41" t="n"/>
      <c r="T57" s="45">
        <f>IF(S57="","",S57-R57)</f>
        <v/>
      </c>
      <c r="U57" s="46">
        <f>IF(S57="","",IF(R57=0,0,(S57-R57)/ABS(R57)))</f>
        <v/>
      </c>
      <c r="V57" s="44">
        <f>V53+V54+V55+V56</f>
        <v/>
      </c>
      <c r="W57" s="41" t="n"/>
      <c r="X57" s="45">
        <f>IF(W57="","",W57-V57)</f>
        <v/>
      </c>
      <c r="Y57" s="46">
        <f>IF(W57="","",IF(V57=0,0,(W57-V57)/ABS(V57)))</f>
        <v/>
      </c>
      <c r="Z57" s="44">
        <f>Z53+Z54+Z55+Z56</f>
        <v/>
      </c>
      <c r="AA57" s="41" t="n"/>
      <c r="AB57" s="45">
        <f>IF(AA57="","",AA57-Z57)</f>
        <v/>
      </c>
      <c r="AC57" s="46">
        <f>IF(AA57="","",IF(Z57=0,0,(AA57-Z57)/ABS(Z57)))</f>
        <v/>
      </c>
      <c r="AD57" s="44">
        <f>AD53+AD54+AD55+AD56</f>
        <v/>
      </c>
      <c r="AE57" s="41" t="n"/>
      <c r="AF57" s="45">
        <f>IF(AE57="","",AE57-AD57)</f>
        <v/>
      </c>
      <c r="AG57" s="46">
        <f>IF(AE57="","",IF(AD57=0,0,(AE57-AD57)/ABS(AD57)))</f>
        <v/>
      </c>
      <c r="AH57" s="44">
        <f>AH53+AH54+AH55+AH56</f>
        <v/>
      </c>
      <c r="AI57" s="41" t="n"/>
      <c r="AJ57" s="45">
        <f>IF(AI57="","",AI57-AH57)</f>
        <v/>
      </c>
      <c r="AK57" s="46">
        <f>IF(AI57="","",IF(AH57=0,0,(AI57-AH57)/ABS(AH57)))</f>
        <v/>
      </c>
      <c r="AL57" s="44">
        <f>AL53+AL54+AL55+AL56</f>
        <v/>
      </c>
      <c r="AM57" s="41" t="n"/>
      <c r="AN57" s="45">
        <f>IF(AM57="","",AM57-AL57)</f>
        <v/>
      </c>
      <c r="AO57" s="46">
        <f>IF(AM57="","",IF(AL57=0,0,(AM57-AL57)/ABS(AL57)))</f>
        <v/>
      </c>
      <c r="AP57" s="44">
        <f>AP53+AP54+AP55+AP56</f>
        <v/>
      </c>
      <c r="AQ57" s="41" t="n"/>
      <c r="AR57" s="45">
        <f>IF(AQ57="","",AQ57-AP57)</f>
        <v/>
      </c>
      <c r="AS57" s="46">
        <f>IF(AQ57="","",IF(AP57=0,0,(AQ57-AP57)/ABS(AP57)))</f>
        <v/>
      </c>
      <c r="AT57" s="44">
        <f>AT53+AT54+AT55+AT56</f>
        <v/>
      </c>
      <c r="AU57" s="41" t="n"/>
      <c r="AV57" s="45">
        <f>IF(AU57="","",AU57-AT57)</f>
        <v/>
      </c>
      <c r="AW57" s="46">
        <f>IF(AU57="","",IF(AT57=0,0,(AU57-AT57)/ABS(AT57)))</f>
        <v/>
      </c>
      <c r="AX57" s="44">
        <f>B57+F57+J57+N57+R57+V57+Z57+AD57+AH57+AL57+AP57+AT57</f>
        <v/>
      </c>
      <c r="AY57" s="41">
        <f>SUM(C57,G57,K57,O57,S57,W57,AA57,AE57,AI57,AM57,AQ57,AU57)</f>
        <v/>
      </c>
    </row>
    <row r="58"/>
    <row r="59">
      <c r="A59" s="37" t="inlineStr">
        <is>
          <t>DIRECT JOB COSTS (COGS)</t>
        </is>
      </c>
      <c r="B59" s="38" t="n"/>
      <c r="C59" s="38" t="n"/>
      <c r="D59" s="38" t="n"/>
      <c r="E59" s="38" t="n"/>
      <c r="F59" s="38" t="n"/>
      <c r="G59" s="38" t="n"/>
      <c r="H59" s="38" t="n"/>
      <c r="I59" s="38" t="n"/>
      <c r="J59" s="38" t="n"/>
      <c r="K59" s="38" t="n"/>
      <c r="L59" s="38" t="n"/>
      <c r="M59" s="38" t="n"/>
      <c r="N59" s="38" t="n"/>
      <c r="O59" s="38" t="n"/>
      <c r="P59" s="38" t="n"/>
      <c r="Q59" s="38" t="n"/>
      <c r="R59" s="38" t="n"/>
      <c r="S59" s="38" t="n"/>
      <c r="T59" s="38" t="n"/>
      <c r="U59" s="38" t="n"/>
      <c r="V59" s="38" t="n"/>
      <c r="W59" s="38" t="n"/>
      <c r="X59" s="38" t="n"/>
      <c r="Y59" s="38" t="n"/>
      <c r="Z59" s="38" t="n"/>
      <c r="AA59" s="38" t="n"/>
      <c r="AB59" s="38" t="n"/>
      <c r="AC59" s="38" t="n"/>
      <c r="AD59" s="38" t="n"/>
      <c r="AE59" s="38" t="n"/>
      <c r="AF59" s="38" t="n"/>
      <c r="AG59" s="38" t="n"/>
      <c r="AH59" s="38" t="n"/>
      <c r="AI59" s="38" t="n"/>
      <c r="AJ59" s="38" t="n"/>
      <c r="AK59" s="38" t="n"/>
      <c r="AL59" s="38" t="n"/>
      <c r="AM59" s="38" t="n"/>
      <c r="AN59" s="38" t="n"/>
      <c r="AO59" s="38" t="n"/>
      <c r="AP59" s="38" t="n"/>
      <c r="AQ59" s="38" t="n"/>
      <c r="AR59" s="38" t="n"/>
      <c r="AS59" s="38" t="n"/>
      <c r="AT59" s="38" t="n"/>
      <c r="AU59" s="38" t="n"/>
      <c r="AV59" s="38" t="n"/>
      <c r="AW59" s="38" t="n"/>
      <c r="AX59" s="38" t="n"/>
      <c r="AY59" s="38" t="n"/>
    </row>
    <row r="60">
      <c r="A60" s="39" t="inlineStr">
        <is>
          <t xml:space="preserve">  Direct Labor</t>
        </is>
      </c>
      <c r="B60" s="40">
        <f>B57*$B$12</f>
        <v/>
      </c>
      <c r="C60" s="41" t="n"/>
      <c r="D60" s="42">
        <f>IF(C60="","",C60-B60)</f>
        <v/>
      </c>
      <c r="E60" s="43">
        <f>IF(C60="","",IF(B60=0,0,(C60-B60)/ABS(B60)))</f>
        <v/>
      </c>
      <c r="F60" s="40">
        <f>F57*$B$12</f>
        <v/>
      </c>
      <c r="G60" s="41" t="n"/>
      <c r="H60" s="42">
        <f>IF(G60="","",G60-F60)</f>
        <v/>
      </c>
      <c r="I60" s="43">
        <f>IF(G60="","",IF(F60=0,0,(G60-F60)/ABS(F60)))</f>
        <v/>
      </c>
      <c r="J60" s="40">
        <f>J57*$B$12</f>
        <v/>
      </c>
      <c r="K60" s="41" t="n"/>
      <c r="L60" s="42">
        <f>IF(K60="","",K60-J60)</f>
        <v/>
      </c>
      <c r="M60" s="43">
        <f>IF(K60="","",IF(J60=0,0,(K60-J60)/ABS(J60)))</f>
        <v/>
      </c>
      <c r="N60" s="40">
        <f>N57*$B$12</f>
        <v/>
      </c>
      <c r="O60" s="41" t="n"/>
      <c r="P60" s="42">
        <f>IF(O60="","",O60-N60)</f>
        <v/>
      </c>
      <c r="Q60" s="43">
        <f>IF(O60="","",IF(N60=0,0,(O60-N60)/ABS(N60)))</f>
        <v/>
      </c>
      <c r="R60" s="40">
        <f>R57*$B$12</f>
        <v/>
      </c>
      <c r="S60" s="41" t="n"/>
      <c r="T60" s="42">
        <f>IF(S60="","",S60-R60)</f>
        <v/>
      </c>
      <c r="U60" s="43">
        <f>IF(S60="","",IF(R60=0,0,(S60-R60)/ABS(R60)))</f>
        <v/>
      </c>
      <c r="V60" s="40">
        <f>V57*$B$12</f>
        <v/>
      </c>
      <c r="W60" s="41" t="n"/>
      <c r="X60" s="42">
        <f>IF(W60="","",W60-V60)</f>
        <v/>
      </c>
      <c r="Y60" s="43">
        <f>IF(W60="","",IF(V60=0,0,(W60-V60)/ABS(V60)))</f>
        <v/>
      </c>
      <c r="Z60" s="40">
        <f>Z57*$B$12</f>
        <v/>
      </c>
      <c r="AA60" s="41" t="n"/>
      <c r="AB60" s="42">
        <f>IF(AA60="","",AA60-Z60)</f>
        <v/>
      </c>
      <c r="AC60" s="43">
        <f>IF(AA60="","",IF(Z60=0,0,(AA60-Z60)/ABS(Z60)))</f>
        <v/>
      </c>
      <c r="AD60" s="40">
        <f>AD57*$B$12</f>
        <v/>
      </c>
      <c r="AE60" s="41" t="n"/>
      <c r="AF60" s="42">
        <f>IF(AE60="","",AE60-AD60)</f>
        <v/>
      </c>
      <c r="AG60" s="43">
        <f>IF(AE60="","",IF(AD60=0,0,(AE60-AD60)/ABS(AD60)))</f>
        <v/>
      </c>
      <c r="AH60" s="40">
        <f>AH57*$B$12</f>
        <v/>
      </c>
      <c r="AI60" s="41" t="n"/>
      <c r="AJ60" s="42">
        <f>IF(AI60="","",AI60-AH60)</f>
        <v/>
      </c>
      <c r="AK60" s="43">
        <f>IF(AI60="","",IF(AH60=0,0,(AI60-AH60)/ABS(AH60)))</f>
        <v/>
      </c>
      <c r="AL60" s="40">
        <f>AL57*$B$12</f>
        <v/>
      </c>
      <c r="AM60" s="41" t="n"/>
      <c r="AN60" s="42">
        <f>IF(AM60="","",AM60-AL60)</f>
        <v/>
      </c>
      <c r="AO60" s="43">
        <f>IF(AM60="","",IF(AL60=0,0,(AM60-AL60)/ABS(AL60)))</f>
        <v/>
      </c>
      <c r="AP60" s="40">
        <f>AP57*$B$12</f>
        <v/>
      </c>
      <c r="AQ60" s="41" t="n"/>
      <c r="AR60" s="42">
        <f>IF(AQ60="","",AQ60-AP60)</f>
        <v/>
      </c>
      <c r="AS60" s="43">
        <f>IF(AQ60="","",IF(AP60=0,0,(AQ60-AP60)/ABS(AP60)))</f>
        <v/>
      </c>
      <c r="AT60" s="40">
        <f>AT57*$B$12</f>
        <v/>
      </c>
      <c r="AU60" s="41" t="n"/>
      <c r="AV60" s="42">
        <f>IF(AU60="","",AU60-AT60)</f>
        <v/>
      </c>
      <c r="AW60" s="43">
        <f>IF(AU60="","",IF(AT60=0,0,(AU60-AT60)/ABS(AT60)))</f>
        <v/>
      </c>
      <c r="AX60" s="40">
        <f>B60+F60+J60+N60+R60+V60+Z60+AD60+AH60+AL60+AP60+AT60</f>
        <v/>
      </c>
      <c r="AY60" s="41">
        <f>SUM(C60,G60,K60,O60,S60,W60,AA60,AE60,AI60,AM60,AQ60,AU60)</f>
        <v/>
      </c>
    </row>
    <row r="61">
      <c r="A61" s="39" t="inlineStr">
        <is>
          <t xml:space="preserve">  Materials</t>
        </is>
      </c>
      <c r="B61" s="40">
        <f>B57*$B$13</f>
        <v/>
      </c>
      <c r="C61" s="41" t="n"/>
      <c r="D61" s="42">
        <f>IF(C61="","",C61-B61)</f>
        <v/>
      </c>
      <c r="E61" s="43">
        <f>IF(C61="","",IF(B61=0,0,(C61-B61)/ABS(B61)))</f>
        <v/>
      </c>
      <c r="F61" s="40">
        <f>F57*$B$13</f>
        <v/>
      </c>
      <c r="G61" s="41" t="n"/>
      <c r="H61" s="42">
        <f>IF(G61="","",G61-F61)</f>
        <v/>
      </c>
      <c r="I61" s="43">
        <f>IF(G61="","",IF(F61=0,0,(G61-F61)/ABS(F61)))</f>
        <v/>
      </c>
      <c r="J61" s="40">
        <f>J57*$B$13</f>
        <v/>
      </c>
      <c r="K61" s="41" t="n"/>
      <c r="L61" s="42">
        <f>IF(K61="","",K61-J61)</f>
        <v/>
      </c>
      <c r="M61" s="43">
        <f>IF(K61="","",IF(J61=0,0,(K61-J61)/ABS(J61)))</f>
        <v/>
      </c>
      <c r="N61" s="40">
        <f>N57*$B$13</f>
        <v/>
      </c>
      <c r="O61" s="41" t="n"/>
      <c r="P61" s="42">
        <f>IF(O61="","",O61-N61)</f>
        <v/>
      </c>
      <c r="Q61" s="43">
        <f>IF(O61="","",IF(N61=0,0,(O61-N61)/ABS(N61)))</f>
        <v/>
      </c>
      <c r="R61" s="40">
        <f>R57*$B$13</f>
        <v/>
      </c>
      <c r="S61" s="41" t="n"/>
      <c r="T61" s="42">
        <f>IF(S61="","",S61-R61)</f>
        <v/>
      </c>
      <c r="U61" s="43">
        <f>IF(S61="","",IF(R61=0,0,(S61-R61)/ABS(R61)))</f>
        <v/>
      </c>
      <c r="V61" s="40">
        <f>V57*$B$13</f>
        <v/>
      </c>
      <c r="W61" s="41" t="n"/>
      <c r="X61" s="42">
        <f>IF(W61="","",W61-V61)</f>
        <v/>
      </c>
      <c r="Y61" s="43">
        <f>IF(W61="","",IF(V61=0,0,(W61-V61)/ABS(V61)))</f>
        <v/>
      </c>
      <c r="Z61" s="40">
        <f>Z57*$B$13</f>
        <v/>
      </c>
      <c r="AA61" s="41" t="n"/>
      <c r="AB61" s="42">
        <f>IF(AA61="","",AA61-Z61)</f>
        <v/>
      </c>
      <c r="AC61" s="43">
        <f>IF(AA61="","",IF(Z61=0,0,(AA61-Z61)/ABS(Z61)))</f>
        <v/>
      </c>
      <c r="AD61" s="40">
        <f>AD57*$B$13</f>
        <v/>
      </c>
      <c r="AE61" s="41" t="n"/>
      <c r="AF61" s="42">
        <f>IF(AE61="","",AE61-AD61)</f>
        <v/>
      </c>
      <c r="AG61" s="43">
        <f>IF(AE61="","",IF(AD61=0,0,(AE61-AD61)/ABS(AD61)))</f>
        <v/>
      </c>
      <c r="AH61" s="40">
        <f>AH57*$B$13</f>
        <v/>
      </c>
      <c r="AI61" s="41" t="n"/>
      <c r="AJ61" s="42">
        <f>IF(AI61="","",AI61-AH61)</f>
        <v/>
      </c>
      <c r="AK61" s="43">
        <f>IF(AI61="","",IF(AH61=0,0,(AI61-AH61)/ABS(AH61)))</f>
        <v/>
      </c>
      <c r="AL61" s="40">
        <f>AL57*$B$13</f>
        <v/>
      </c>
      <c r="AM61" s="41" t="n"/>
      <c r="AN61" s="42">
        <f>IF(AM61="","",AM61-AL61)</f>
        <v/>
      </c>
      <c r="AO61" s="43">
        <f>IF(AM61="","",IF(AL61=0,0,(AM61-AL61)/ABS(AL61)))</f>
        <v/>
      </c>
      <c r="AP61" s="40">
        <f>AP57*$B$13</f>
        <v/>
      </c>
      <c r="AQ61" s="41" t="n"/>
      <c r="AR61" s="42">
        <f>IF(AQ61="","",AQ61-AP61)</f>
        <v/>
      </c>
      <c r="AS61" s="43">
        <f>IF(AQ61="","",IF(AP61=0,0,(AQ61-AP61)/ABS(AP61)))</f>
        <v/>
      </c>
      <c r="AT61" s="40">
        <f>AT57*$B$13</f>
        <v/>
      </c>
      <c r="AU61" s="41" t="n"/>
      <c r="AV61" s="42">
        <f>IF(AU61="","",AU61-AT61)</f>
        <v/>
      </c>
      <c r="AW61" s="43">
        <f>IF(AU61="","",IF(AT61=0,0,(AU61-AT61)/ABS(AT61)))</f>
        <v/>
      </c>
      <c r="AX61" s="40">
        <f>B61+F61+J61+N61+R61+V61+Z61+AD61+AH61+AL61+AP61+AT61</f>
        <v/>
      </c>
      <c r="AY61" s="41">
        <f>SUM(C61,G61,K61,O61,S61,W61,AA61,AE61,AI61,AM61,AQ61,AU61)</f>
        <v/>
      </c>
    </row>
    <row r="62">
      <c r="A62" s="39" t="inlineStr">
        <is>
          <t xml:space="preserve">  Subcontractors</t>
        </is>
      </c>
      <c r="B62" s="40">
        <f>B57*$B$14</f>
        <v/>
      </c>
      <c r="C62" s="41" t="n"/>
      <c r="D62" s="42">
        <f>IF(C62="","",C62-B62)</f>
        <v/>
      </c>
      <c r="E62" s="43">
        <f>IF(C62="","",IF(B62=0,0,(C62-B62)/ABS(B62)))</f>
        <v/>
      </c>
      <c r="F62" s="40">
        <f>F57*$B$14</f>
        <v/>
      </c>
      <c r="G62" s="41" t="n"/>
      <c r="H62" s="42">
        <f>IF(G62="","",G62-F62)</f>
        <v/>
      </c>
      <c r="I62" s="43">
        <f>IF(G62="","",IF(F62=0,0,(G62-F62)/ABS(F62)))</f>
        <v/>
      </c>
      <c r="J62" s="40">
        <f>J57*$B$14</f>
        <v/>
      </c>
      <c r="K62" s="41" t="n"/>
      <c r="L62" s="42">
        <f>IF(K62="","",K62-J62)</f>
        <v/>
      </c>
      <c r="M62" s="43">
        <f>IF(K62="","",IF(J62=0,0,(K62-J62)/ABS(J62)))</f>
        <v/>
      </c>
      <c r="N62" s="40">
        <f>N57*$B$14</f>
        <v/>
      </c>
      <c r="O62" s="41" t="n"/>
      <c r="P62" s="42">
        <f>IF(O62="","",O62-N62)</f>
        <v/>
      </c>
      <c r="Q62" s="43">
        <f>IF(O62="","",IF(N62=0,0,(O62-N62)/ABS(N62)))</f>
        <v/>
      </c>
      <c r="R62" s="40">
        <f>R57*$B$14</f>
        <v/>
      </c>
      <c r="S62" s="41" t="n"/>
      <c r="T62" s="42">
        <f>IF(S62="","",S62-R62)</f>
        <v/>
      </c>
      <c r="U62" s="43">
        <f>IF(S62="","",IF(R62=0,0,(S62-R62)/ABS(R62)))</f>
        <v/>
      </c>
      <c r="V62" s="40">
        <f>V57*$B$14</f>
        <v/>
      </c>
      <c r="W62" s="41" t="n"/>
      <c r="X62" s="42">
        <f>IF(W62="","",W62-V62)</f>
        <v/>
      </c>
      <c r="Y62" s="43">
        <f>IF(W62="","",IF(V62=0,0,(W62-V62)/ABS(V62)))</f>
        <v/>
      </c>
      <c r="Z62" s="40">
        <f>Z57*$B$14</f>
        <v/>
      </c>
      <c r="AA62" s="41" t="n"/>
      <c r="AB62" s="42">
        <f>IF(AA62="","",AA62-Z62)</f>
        <v/>
      </c>
      <c r="AC62" s="43">
        <f>IF(AA62="","",IF(Z62=0,0,(AA62-Z62)/ABS(Z62)))</f>
        <v/>
      </c>
      <c r="AD62" s="40">
        <f>AD57*$B$14</f>
        <v/>
      </c>
      <c r="AE62" s="41" t="n"/>
      <c r="AF62" s="42">
        <f>IF(AE62="","",AE62-AD62)</f>
        <v/>
      </c>
      <c r="AG62" s="43">
        <f>IF(AE62="","",IF(AD62=0,0,(AE62-AD62)/ABS(AD62)))</f>
        <v/>
      </c>
      <c r="AH62" s="40">
        <f>AH57*$B$14</f>
        <v/>
      </c>
      <c r="AI62" s="41" t="n"/>
      <c r="AJ62" s="42">
        <f>IF(AI62="","",AI62-AH62)</f>
        <v/>
      </c>
      <c r="AK62" s="43">
        <f>IF(AI62="","",IF(AH62=0,0,(AI62-AH62)/ABS(AH62)))</f>
        <v/>
      </c>
      <c r="AL62" s="40">
        <f>AL57*$B$14</f>
        <v/>
      </c>
      <c r="AM62" s="41" t="n"/>
      <c r="AN62" s="42">
        <f>IF(AM62="","",AM62-AL62)</f>
        <v/>
      </c>
      <c r="AO62" s="43">
        <f>IF(AM62="","",IF(AL62=0,0,(AM62-AL62)/ABS(AL62)))</f>
        <v/>
      </c>
      <c r="AP62" s="40">
        <f>AP57*$B$14</f>
        <v/>
      </c>
      <c r="AQ62" s="41" t="n"/>
      <c r="AR62" s="42">
        <f>IF(AQ62="","",AQ62-AP62)</f>
        <v/>
      </c>
      <c r="AS62" s="43">
        <f>IF(AQ62="","",IF(AP62=0,0,(AQ62-AP62)/ABS(AP62)))</f>
        <v/>
      </c>
      <c r="AT62" s="40">
        <f>AT57*$B$14</f>
        <v/>
      </c>
      <c r="AU62" s="41" t="n"/>
      <c r="AV62" s="42">
        <f>IF(AU62="","",AU62-AT62)</f>
        <v/>
      </c>
      <c r="AW62" s="43">
        <f>IF(AU62="","",IF(AT62=0,0,(AU62-AT62)/ABS(AT62)))</f>
        <v/>
      </c>
      <c r="AX62" s="40">
        <f>B62+F62+J62+N62+R62+V62+Z62+AD62+AH62+AL62+AP62+AT62</f>
        <v/>
      </c>
      <c r="AY62" s="41">
        <f>SUM(C62,G62,K62,O62,S62,W62,AA62,AE62,AI62,AM62,AQ62,AU62)</f>
        <v/>
      </c>
    </row>
    <row r="63">
      <c r="A63" s="39" t="inlineStr">
        <is>
          <t xml:space="preserve">  Equipment</t>
        </is>
      </c>
      <c r="B63" s="40">
        <f>B57*$B$15</f>
        <v/>
      </c>
      <c r="C63" s="41" t="n"/>
      <c r="D63" s="42">
        <f>IF(C63="","",C63-B63)</f>
        <v/>
      </c>
      <c r="E63" s="43">
        <f>IF(C63="","",IF(B63=0,0,(C63-B63)/ABS(B63)))</f>
        <v/>
      </c>
      <c r="F63" s="40">
        <f>F57*$B$15</f>
        <v/>
      </c>
      <c r="G63" s="41" t="n"/>
      <c r="H63" s="42">
        <f>IF(G63="","",G63-F63)</f>
        <v/>
      </c>
      <c r="I63" s="43">
        <f>IF(G63="","",IF(F63=0,0,(G63-F63)/ABS(F63)))</f>
        <v/>
      </c>
      <c r="J63" s="40">
        <f>J57*$B$15</f>
        <v/>
      </c>
      <c r="K63" s="41" t="n"/>
      <c r="L63" s="42">
        <f>IF(K63="","",K63-J63)</f>
        <v/>
      </c>
      <c r="M63" s="43">
        <f>IF(K63="","",IF(J63=0,0,(K63-J63)/ABS(J63)))</f>
        <v/>
      </c>
      <c r="N63" s="40">
        <f>N57*$B$15</f>
        <v/>
      </c>
      <c r="O63" s="41" t="n"/>
      <c r="P63" s="42">
        <f>IF(O63="","",O63-N63)</f>
        <v/>
      </c>
      <c r="Q63" s="43">
        <f>IF(O63="","",IF(N63=0,0,(O63-N63)/ABS(N63)))</f>
        <v/>
      </c>
      <c r="R63" s="40">
        <f>R57*$B$15</f>
        <v/>
      </c>
      <c r="S63" s="41" t="n"/>
      <c r="T63" s="42">
        <f>IF(S63="","",S63-R63)</f>
        <v/>
      </c>
      <c r="U63" s="43">
        <f>IF(S63="","",IF(R63=0,0,(S63-R63)/ABS(R63)))</f>
        <v/>
      </c>
      <c r="V63" s="40">
        <f>V57*$B$15</f>
        <v/>
      </c>
      <c r="W63" s="41" t="n"/>
      <c r="X63" s="42">
        <f>IF(W63="","",W63-V63)</f>
        <v/>
      </c>
      <c r="Y63" s="43">
        <f>IF(W63="","",IF(V63=0,0,(W63-V63)/ABS(V63)))</f>
        <v/>
      </c>
      <c r="Z63" s="40">
        <f>Z57*$B$15</f>
        <v/>
      </c>
      <c r="AA63" s="41" t="n"/>
      <c r="AB63" s="42">
        <f>IF(AA63="","",AA63-Z63)</f>
        <v/>
      </c>
      <c r="AC63" s="43">
        <f>IF(AA63="","",IF(Z63=0,0,(AA63-Z63)/ABS(Z63)))</f>
        <v/>
      </c>
      <c r="AD63" s="40">
        <f>AD57*$B$15</f>
        <v/>
      </c>
      <c r="AE63" s="41" t="n"/>
      <c r="AF63" s="42">
        <f>IF(AE63="","",AE63-AD63)</f>
        <v/>
      </c>
      <c r="AG63" s="43">
        <f>IF(AE63="","",IF(AD63=0,0,(AE63-AD63)/ABS(AD63)))</f>
        <v/>
      </c>
      <c r="AH63" s="40">
        <f>AH57*$B$15</f>
        <v/>
      </c>
      <c r="AI63" s="41" t="n"/>
      <c r="AJ63" s="42">
        <f>IF(AI63="","",AI63-AH63)</f>
        <v/>
      </c>
      <c r="AK63" s="43">
        <f>IF(AI63="","",IF(AH63=0,0,(AI63-AH63)/ABS(AH63)))</f>
        <v/>
      </c>
      <c r="AL63" s="40">
        <f>AL57*$B$15</f>
        <v/>
      </c>
      <c r="AM63" s="41" t="n"/>
      <c r="AN63" s="42">
        <f>IF(AM63="","",AM63-AL63)</f>
        <v/>
      </c>
      <c r="AO63" s="43">
        <f>IF(AM63="","",IF(AL63=0,0,(AM63-AL63)/ABS(AL63)))</f>
        <v/>
      </c>
      <c r="AP63" s="40">
        <f>AP57*$B$15</f>
        <v/>
      </c>
      <c r="AQ63" s="41" t="n"/>
      <c r="AR63" s="42">
        <f>IF(AQ63="","",AQ63-AP63)</f>
        <v/>
      </c>
      <c r="AS63" s="43">
        <f>IF(AQ63="","",IF(AP63=0,0,(AQ63-AP63)/ABS(AP63)))</f>
        <v/>
      </c>
      <c r="AT63" s="40">
        <f>AT57*$B$15</f>
        <v/>
      </c>
      <c r="AU63" s="41" t="n"/>
      <c r="AV63" s="42">
        <f>IF(AU63="","",AU63-AT63)</f>
        <v/>
      </c>
      <c r="AW63" s="43">
        <f>IF(AU63="","",IF(AT63=0,0,(AU63-AT63)/ABS(AT63)))</f>
        <v/>
      </c>
      <c r="AX63" s="40">
        <f>B63+F63+J63+N63+R63+V63+Z63+AD63+AH63+AL63+AP63+AT63</f>
        <v/>
      </c>
      <c r="AY63" s="41">
        <f>SUM(C63,G63,K63,O63,S63,W63,AA63,AE63,AI63,AM63,AQ63,AU63)</f>
        <v/>
      </c>
    </row>
    <row r="64">
      <c r="A64" s="26" t="inlineStr">
        <is>
          <t>TOTAL DIRECT COSTS (COGS)</t>
        </is>
      </c>
      <c r="B64" s="44">
        <f>B60+B61+B62+B63</f>
        <v/>
      </c>
      <c r="C64" s="41" t="n"/>
      <c r="D64" s="45">
        <f>IF(C64="","",C64-B64)</f>
        <v/>
      </c>
      <c r="E64" s="46">
        <f>IF(C64="","",IF(B64=0,0,(C64-B64)/ABS(B64)))</f>
        <v/>
      </c>
      <c r="F64" s="44">
        <f>F60+F61+F62+F63</f>
        <v/>
      </c>
      <c r="G64" s="41" t="n"/>
      <c r="H64" s="45">
        <f>IF(G64="","",G64-F64)</f>
        <v/>
      </c>
      <c r="I64" s="46">
        <f>IF(G64="","",IF(F64=0,0,(G64-F64)/ABS(F64)))</f>
        <v/>
      </c>
      <c r="J64" s="44">
        <f>J60+J61+J62+J63</f>
        <v/>
      </c>
      <c r="K64" s="41" t="n"/>
      <c r="L64" s="45">
        <f>IF(K64="","",K64-J64)</f>
        <v/>
      </c>
      <c r="M64" s="46">
        <f>IF(K64="","",IF(J64=0,0,(K64-J64)/ABS(J64)))</f>
        <v/>
      </c>
      <c r="N64" s="44">
        <f>N60+N61+N62+N63</f>
        <v/>
      </c>
      <c r="O64" s="41" t="n"/>
      <c r="P64" s="45">
        <f>IF(O64="","",O64-N64)</f>
        <v/>
      </c>
      <c r="Q64" s="46">
        <f>IF(O64="","",IF(N64=0,0,(O64-N64)/ABS(N64)))</f>
        <v/>
      </c>
      <c r="R64" s="44">
        <f>R60+R61+R62+R63</f>
        <v/>
      </c>
      <c r="S64" s="41" t="n"/>
      <c r="T64" s="45">
        <f>IF(S64="","",S64-R64)</f>
        <v/>
      </c>
      <c r="U64" s="46">
        <f>IF(S64="","",IF(R64=0,0,(S64-R64)/ABS(R64)))</f>
        <v/>
      </c>
      <c r="V64" s="44">
        <f>V60+V61+V62+V63</f>
        <v/>
      </c>
      <c r="W64" s="41" t="n"/>
      <c r="X64" s="45">
        <f>IF(W64="","",W64-V64)</f>
        <v/>
      </c>
      <c r="Y64" s="46">
        <f>IF(W64="","",IF(V64=0,0,(W64-V64)/ABS(V64)))</f>
        <v/>
      </c>
      <c r="Z64" s="44">
        <f>Z60+Z61+Z62+Z63</f>
        <v/>
      </c>
      <c r="AA64" s="41" t="n"/>
      <c r="AB64" s="45">
        <f>IF(AA64="","",AA64-Z64)</f>
        <v/>
      </c>
      <c r="AC64" s="46">
        <f>IF(AA64="","",IF(Z64=0,0,(AA64-Z64)/ABS(Z64)))</f>
        <v/>
      </c>
      <c r="AD64" s="44">
        <f>AD60+AD61+AD62+AD63</f>
        <v/>
      </c>
      <c r="AE64" s="41" t="n"/>
      <c r="AF64" s="45">
        <f>IF(AE64="","",AE64-AD64)</f>
        <v/>
      </c>
      <c r="AG64" s="46">
        <f>IF(AE64="","",IF(AD64=0,0,(AE64-AD64)/ABS(AD64)))</f>
        <v/>
      </c>
      <c r="AH64" s="44">
        <f>AH60+AH61+AH62+AH63</f>
        <v/>
      </c>
      <c r="AI64" s="41" t="n"/>
      <c r="AJ64" s="45">
        <f>IF(AI64="","",AI64-AH64)</f>
        <v/>
      </c>
      <c r="AK64" s="46">
        <f>IF(AI64="","",IF(AH64=0,0,(AI64-AH64)/ABS(AH64)))</f>
        <v/>
      </c>
      <c r="AL64" s="44">
        <f>AL60+AL61+AL62+AL63</f>
        <v/>
      </c>
      <c r="AM64" s="41" t="n"/>
      <c r="AN64" s="45">
        <f>IF(AM64="","",AM64-AL64)</f>
        <v/>
      </c>
      <c r="AO64" s="46">
        <f>IF(AM64="","",IF(AL64=0,0,(AM64-AL64)/ABS(AL64)))</f>
        <v/>
      </c>
      <c r="AP64" s="44">
        <f>AP60+AP61+AP62+AP63</f>
        <v/>
      </c>
      <c r="AQ64" s="41" t="n"/>
      <c r="AR64" s="45">
        <f>IF(AQ64="","",AQ64-AP64)</f>
        <v/>
      </c>
      <c r="AS64" s="46">
        <f>IF(AQ64="","",IF(AP64=0,0,(AQ64-AP64)/ABS(AP64)))</f>
        <v/>
      </c>
      <c r="AT64" s="44">
        <f>AT60+AT61+AT62+AT63</f>
        <v/>
      </c>
      <c r="AU64" s="41" t="n"/>
      <c r="AV64" s="45">
        <f>IF(AU64="","",AU64-AT64)</f>
        <v/>
      </c>
      <c r="AW64" s="46">
        <f>IF(AU64="","",IF(AT64=0,0,(AU64-AT64)/ABS(AT64)))</f>
        <v/>
      </c>
      <c r="AX64" s="44">
        <f>B64+F64+J64+N64+R64+V64+Z64+AD64+AH64+AL64+AP64+AT64</f>
        <v/>
      </c>
      <c r="AY64" s="41">
        <f>SUM(C64,G64,K64,O64,S64,W64,AA64,AE64,AI64,AM64,AQ64,AU64)</f>
        <v/>
      </c>
    </row>
    <row r="65"/>
    <row r="66">
      <c r="A66" s="26" t="inlineStr">
        <is>
          <t>PROFIT AFTER DIRECT COSTS (GROSS PROFIT)</t>
        </is>
      </c>
      <c r="B66" s="44">
        <f>B57-B64</f>
        <v/>
      </c>
      <c r="C66" s="41" t="n"/>
      <c r="D66" s="45">
        <f>IF(C66="","",C66-B66)</f>
        <v/>
      </c>
      <c r="E66" s="46">
        <f>IF(C66="","",IF(B66=0,0,(C66-B66)/ABS(B66)))</f>
        <v/>
      </c>
      <c r="F66" s="44">
        <f>F57-F64</f>
        <v/>
      </c>
      <c r="G66" s="41" t="n"/>
      <c r="H66" s="45">
        <f>IF(G66="","",G66-F66)</f>
        <v/>
      </c>
      <c r="I66" s="46">
        <f>IF(G66="","",IF(F66=0,0,(G66-F66)/ABS(F66)))</f>
        <v/>
      </c>
      <c r="J66" s="44">
        <f>J57-J64</f>
        <v/>
      </c>
      <c r="K66" s="41" t="n"/>
      <c r="L66" s="45">
        <f>IF(K66="","",K66-J66)</f>
        <v/>
      </c>
      <c r="M66" s="46">
        <f>IF(K66="","",IF(J66=0,0,(K66-J66)/ABS(J66)))</f>
        <v/>
      </c>
      <c r="N66" s="44">
        <f>N57-N64</f>
        <v/>
      </c>
      <c r="O66" s="41" t="n"/>
      <c r="P66" s="45">
        <f>IF(O66="","",O66-N66)</f>
        <v/>
      </c>
      <c r="Q66" s="46">
        <f>IF(O66="","",IF(N66=0,0,(O66-N66)/ABS(N66)))</f>
        <v/>
      </c>
      <c r="R66" s="44">
        <f>R57-R64</f>
        <v/>
      </c>
      <c r="S66" s="41" t="n"/>
      <c r="T66" s="45">
        <f>IF(S66="","",S66-R66)</f>
        <v/>
      </c>
      <c r="U66" s="46">
        <f>IF(S66="","",IF(R66=0,0,(S66-R66)/ABS(R66)))</f>
        <v/>
      </c>
      <c r="V66" s="44">
        <f>V57-V64</f>
        <v/>
      </c>
      <c r="W66" s="41" t="n"/>
      <c r="X66" s="45">
        <f>IF(W66="","",W66-V66)</f>
        <v/>
      </c>
      <c r="Y66" s="46">
        <f>IF(W66="","",IF(V66=0,0,(W66-V66)/ABS(V66)))</f>
        <v/>
      </c>
      <c r="Z66" s="44">
        <f>Z57-Z64</f>
        <v/>
      </c>
      <c r="AA66" s="41" t="n"/>
      <c r="AB66" s="45">
        <f>IF(AA66="","",AA66-Z66)</f>
        <v/>
      </c>
      <c r="AC66" s="46">
        <f>IF(AA66="","",IF(Z66=0,0,(AA66-Z66)/ABS(Z66)))</f>
        <v/>
      </c>
      <c r="AD66" s="44">
        <f>AD57-AD64</f>
        <v/>
      </c>
      <c r="AE66" s="41" t="n"/>
      <c r="AF66" s="45">
        <f>IF(AE66="","",AE66-AD66)</f>
        <v/>
      </c>
      <c r="AG66" s="46">
        <f>IF(AE66="","",IF(AD66=0,0,(AE66-AD66)/ABS(AD66)))</f>
        <v/>
      </c>
      <c r="AH66" s="44">
        <f>AH57-AH64</f>
        <v/>
      </c>
      <c r="AI66" s="41" t="n"/>
      <c r="AJ66" s="45">
        <f>IF(AI66="","",AI66-AH66)</f>
        <v/>
      </c>
      <c r="AK66" s="46">
        <f>IF(AI66="","",IF(AH66=0,0,(AI66-AH66)/ABS(AH66)))</f>
        <v/>
      </c>
      <c r="AL66" s="44">
        <f>AL57-AL64</f>
        <v/>
      </c>
      <c r="AM66" s="41" t="n"/>
      <c r="AN66" s="45">
        <f>IF(AM66="","",AM66-AL66)</f>
        <v/>
      </c>
      <c r="AO66" s="46">
        <f>IF(AM66="","",IF(AL66=0,0,(AM66-AL66)/ABS(AL66)))</f>
        <v/>
      </c>
      <c r="AP66" s="44">
        <f>AP57-AP64</f>
        <v/>
      </c>
      <c r="AQ66" s="41" t="n"/>
      <c r="AR66" s="45">
        <f>IF(AQ66="","",AQ66-AP66)</f>
        <v/>
      </c>
      <c r="AS66" s="46">
        <f>IF(AQ66="","",IF(AP66=0,0,(AQ66-AP66)/ABS(AP66)))</f>
        <v/>
      </c>
      <c r="AT66" s="44">
        <f>AT57-AT64</f>
        <v/>
      </c>
      <c r="AU66" s="41" t="n"/>
      <c r="AV66" s="45">
        <f>IF(AU66="","",AU66-AT66)</f>
        <v/>
      </c>
      <c r="AW66" s="46">
        <f>IF(AU66="","",IF(AT66=0,0,(AU66-AT66)/ABS(AT66)))</f>
        <v/>
      </c>
      <c r="AX66" s="44">
        <f>B66+F66+J66+N66+R66+V66+Z66+AD66+AH66+AL66+AP66+AT66</f>
        <v/>
      </c>
      <c r="AY66" s="41">
        <f>SUM(C66,G66,K66,O66,S66,W66,AA66,AE66,AI66,AM66,AQ66,AU66)</f>
        <v/>
      </c>
    </row>
    <row r="67">
      <c r="A67" s="39" t="inlineStr">
        <is>
          <t xml:space="preserve">  Profit Margin % (Gross Margin)</t>
        </is>
      </c>
      <c r="B67" s="47">
        <f>IF(B57=0,0,B66/B57)</f>
        <v/>
      </c>
      <c r="C67" s="48" t="n"/>
      <c r="D67" s="43">
        <f>IF(C67="","",C67-B67)</f>
        <v/>
      </c>
      <c r="E67" s="43">
        <f>IF(C67="","",IF(B67=0,0,(C67-B67)/ABS(B67)))</f>
        <v/>
      </c>
      <c r="F67" s="47">
        <f>IF(F57=0,0,F66/F57)</f>
        <v/>
      </c>
      <c r="G67" s="48" t="n"/>
      <c r="H67" s="43">
        <f>IF(G67="","",G67-F67)</f>
        <v/>
      </c>
      <c r="I67" s="43">
        <f>IF(G67="","",IF(F67=0,0,(G67-F67)/ABS(F67)))</f>
        <v/>
      </c>
      <c r="J67" s="47">
        <f>IF(J57=0,0,J66/J57)</f>
        <v/>
      </c>
      <c r="K67" s="48" t="n"/>
      <c r="L67" s="43">
        <f>IF(K67="","",K67-J67)</f>
        <v/>
      </c>
      <c r="M67" s="43">
        <f>IF(K67="","",IF(J67=0,0,(K67-J67)/ABS(J67)))</f>
        <v/>
      </c>
      <c r="N67" s="47">
        <f>IF(N57=0,0,N66/N57)</f>
        <v/>
      </c>
      <c r="O67" s="48" t="n"/>
      <c r="P67" s="43">
        <f>IF(O67="","",O67-N67)</f>
        <v/>
      </c>
      <c r="Q67" s="43">
        <f>IF(O67="","",IF(N67=0,0,(O67-N67)/ABS(N67)))</f>
        <v/>
      </c>
      <c r="R67" s="47">
        <f>IF(R57=0,0,R66/R57)</f>
        <v/>
      </c>
      <c r="S67" s="48" t="n"/>
      <c r="T67" s="43">
        <f>IF(S67="","",S67-R67)</f>
        <v/>
      </c>
      <c r="U67" s="43">
        <f>IF(S67="","",IF(R67=0,0,(S67-R67)/ABS(R67)))</f>
        <v/>
      </c>
      <c r="V67" s="47">
        <f>IF(V57=0,0,V66/V57)</f>
        <v/>
      </c>
      <c r="W67" s="48" t="n"/>
      <c r="X67" s="43">
        <f>IF(W67="","",W67-V67)</f>
        <v/>
      </c>
      <c r="Y67" s="43">
        <f>IF(W67="","",IF(V67=0,0,(W67-V67)/ABS(V67)))</f>
        <v/>
      </c>
      <c r="Z67" s="47">
        <f>IF(Z57=0,0,Z66/Z57)</f>
        <v/>
      </c>
      <c r="AA67" s="48" t="n"/>
      <c r="AB67" s="43">
        <f>IF(AA67="","",AA67-Z67)</f>
        <v/>
      </c>
      <c r="AC67" s="43">
        <f>IF(AA67="","",IF(Z67=0,0,(AA67-Z67)/ABS(Z67)))</f>
        <v/>
      </c>
      <c r="AD67" s="47">
        <f>IF(AD57=0,0,AD66/AD57)</f>
        <v/>
      </c>
      <c r="AE67" s="48" t="n"/>
      <c r="AF67" s="43">
        <f>IF(AE67="","",AE67-AD67)</f>
        <v/>
      </c>
      <c r="AG67" s="43">
        <f>IF(AE67="","",IF(AD67=0,0,(AE67-AD67)/ABS(AD67)))</f>
        <v/>
      </c>
      <c r="AH67" s="47">
        <f>IF(AH57=0,0,AH66/AH57)</f>
        <v/>
      </c>
      <c r="AI67" s="48" t="n"/>
      <c r="AJ67" s="43">
        <f>IF(AI67="","",AI67-AH67)</f>
        <v/>
      </c>
      <c r="AK67" s="43">
        <f>IF(AI67="","",IF(AH67=0,0,(AI67-AH67)/ABS(AH67)))</f>
        <v/>
      </c>
      <c r="AL67" s="47">
        <f>IF(AL57=0,0,AL66/AL57)</f>
        <v/>
      </c>
      <c r="AM67" s="48" t="n"/>
      <c r="AN67" s="43">
        <f>IF(AM67="","",AM67-AL67)</f>
        <v/>
      </c>
      <c r="AO67" s="43">
        <f>IF(AM67="","",IF(AL67=0,0,(AM67-AL67)/ABS(AL67)))</f>
        <v/>
      </c>
      <c r="AP67" s="47">
        <f>IF(AP57=0,0,AP66/AP57)</f>
        <v/>
      </c>
      <c r="AQ67" s="48" t="n"/>
      <c r="AR67" s="43">
        <f>IF(AQ67="","",AQ67-AP67)</f>
        <v/>
      </c>
      <c r="AS67" s="43">
        <f>IF(AQ67="","",IF(AP67=0,0,(AQ67-AP67)/ABS(AP67)))</f>
        <v/>
      </c>
      <c r="AT67" s="47">
        <f>IF(AT57=0,0,AT66/AT57)</f>
        <v/>
      </c>
      <c r="AU67" s="48" t="n"/>
      <c r="AV67" s="43">
        <f>IF(AU67="","",AU67-AT67)</f>
        <v/>
      </c>
      <c r="AW67" s="43">
        <f>IF(AU67="","",IF(AT67=0,0,(AU67-AT67)/ABS(AT67)))</f>
        <v/>
      </c>
      <c r="AX67" s="47">
        <f>B67+F67+J67+N67+R67+V67+Z67+AD67+AH67+AL67+AP67+AT67</f>
        <v/>
      </c>
      <c r="AY67" s="48">
        <f>SUM(C67,G67,K67,O67,S67,W67,AA67,AE67,AI67,AM67,AQ67,AU67)</f>
        <v/>
      </c>
    </row>
    <row r="68"/>
    <row r="69">
      <c r="A69" s="37" t="inlineStr">
        <is>
          <t>OVERHEAD</t>
        </is>
      </c>
      <c r="B69" s="38" t="n"/>
      <c r="C69" s="38" t="n"/>
      <c r="D69" s="38" t="n"/>
      <c r="E69" s="38" t="n"/>
      <c r="F69" s="38" t="n"/>
      <c r="G69" s="38" t="n"/>
      <c r="H69" s="38" t="n"/>
      <c r="I69" s="38" t="n"/>
      <c r="J69" s="38" t="n"/>
      <c r="K69" s="38" t="n"/>
      <c r="L69" s="38" t="n"/>
      <c r="M69" s="38" t="n"/>
      <c r="N69" s="38" t="n"/>
      <c r="O69" s="38" t="n"/>
      <c r="P69" s="38" t="n"/>
      <c r="Q69" s="38" t="n"/>
      <c r="R69" s="38" t="n"/>
      <c r="S69" s="38" t="n"/>
      <c r="T69" s="38" t="n"/>
      <c r="U69" s="38" t="n"/>
      <c r="V69" s="38" t="n"/>
      <c r="W69" s="38" t="n"/>
      <c r="X69" s="38" t="n"/>
      <c r="Y69" s="38" t="n"/>
      <c r="Z69" s="38" t="n"/>
      <c r="AA69" s="38" t="n"/>
      <c r="AB69" s="38" t="n"/>
      <c r="AC69" s="38" t="n"/>
      <c r="AD69" s="38" t="n"/>
      <c r="AE69" s="38" t="n"/>
      <c r="AF69" s="38" t="n"/>
      <c r="AG69" s="38" t="n"/>
      <c r="AH69" s="38" t="n"/>
      <c r="AI69" s="38" t="n"/>
      <c r="AJ69" s="38" t="n"/>
      <c r="AK69" s="38" t="n"/>
      <c r="AL69" s="38" t="n"/>
      <c r="AM69" s="38" t="n"/>
      <c r="AN69" s="38" t="n"/>
      <c r="AO69" s="38" t="n"/>
      <c r="AP69" s="38" t="n"/>
      <c r="AQ69" s="38" t="n"/>
      <c r="AR69" s="38" t="n"/>
      <c r="AS69" s="38" t="n"/>
      <c r="AT69" s="38" t="n"/>
      <c r="AU69" s="38" t="n"/>
      <c r="AV69" s="38" t="n"/>
      <c r="AW69" s="38" t="n"/>
      <c r="AX69" s="38" t="n"/>
      <c r="AY69" s="38" t="n"/>
    </row>
    <row r="70">
      <c r="A70" s="39" t="inlineStr">
        <is>
          <t xml:space="preserve">  Rent / Office</t>
        </is>
      </c>
      <c r="B70" s="40">
        <f>$B$29</f>
        <v/>
      </c>
      <c r="C70" s="41" t="n"/>
      <c r="D70" s="42">
        <f>IF(C70="","",C70-B70)</f>
        <v/>
      </c>
      <c r="E70" s="43">
        <f>IF(C70="","",IF(B70=0,0,(C70-B70)/ABS(B70)))</f>
        <v/>
      </c>
      <c r="F70" s="40">
        <f>$B$29</f>
        <v/>
      </c>
      <c r="G70" s="41" t="n"/>
      <c r="H70" s="42">
        <f>IF(G70="","",G70-F70)</f>
        <v/>
      </c>
      <c r="I70" s="43">
        <f>IF(G70="","",IF(F70=0,0,(G70-F70)/ABS(F70)))</f>
        <v/>
      </c>
      <c r="J70" s="40">
        <f>$B$29</f>
        <v/>
      </c>
      <c r="K70" s="41" t="n"/>
      <c r="L70" s="42">
        <f>IF(K70="","",K70-J70)</f>
        <v/>
      </c>
      <c r="M70" s="43">
        <f>IF(K70="","",IF(J70=0,0,(K70-J70)/ABS(J70)))</f>
        <v/>
      </c>
      <c r="N70" s="40">
        <f>$B$29</f>
        <v/>
      </c>
      <c r="O70" s="41" t="n"/>
      <c r="P70" s="42">
        <f>IF(O70="","",O70-N70)</f>
        <v/>
      </c>
      <c r="Q70" s="43">
        <f>IF(O70="","",IF(N70=0,0,(O70-N70)/ABS(N70)))</f>
        <v/>
      </c>
      <c r="R70" s="40">
        <f>$B$29</f>
        <v/>
      </c>
      <c r="S70" s="41" t="n"/>
      <c r="T70" s="42">
        <f>IF(S70="","",S70-R70)</f>
        <v/>
      </c>
      <c r="U70" s="43">
        <f>IF(S70="","",IF(R70=0,0,(S70-R70)/ABS(R70)))</f>
        <v/>
      </c>
      <c r="V70" s="40">
        <f>$B$29</f>
        <v/>
      </c>
      <c r="W70" s="41" t="n"/>
      <c r="X70" s="42">
        <f>IF(W70="","",W70-V70)</f>
        <v/>
      </c>
      <c r="Y70" s="43">
        <f>IF(W70="","",IF(V70=0,0,(W70-V70)/ABS(V70)))</f>
        <v/>
      </c>
      <c r="Z70" s="40">
        <f>$B$29</f>
        <v/>
      </c>
      <c r="AA70" s="41" t="n"/>
      <c r="AB70" s="42">
        <f>IF(AA70="","",AA70-Z70)</f>
        <v/>
      </c>
      <c r="AC70" s="43">
        <f>IF(AA70="","",IF(Z70=0,0,(AA70-Z70)/ABS(Z70)))</f>
        <v/>
      </c>
      <c r="AD70" s="40">
        <f>$B$29</f>
        <v/>
      </c>
      <c r="AE70" s="41" t="n"/>
      <c r="AF70" s="42">
        <f>IF(AE70="","",AE70-AD70)</f>
        <v/>
      </c>
      <c r="AG70" s="43">
        <f>IF(AE70="","",IF(AD70=0,0,(AE70-AD70)/ABS(AD70)))</f>
        <v/>
      </c>
      <c r="AH70" s="40">
        <f>$B$29</f>
        <v/>
      </c>
      <c r="AI70" s="41" t="n"/>
      <c r="AJ70" s="42">
        <f>IF(AI70="","",AI70-AH70)</f>
        <v/>
      </c>
      <c r="AK70" s="43">
        <f>IF(AI70="","",IF(AH70=0,0,(AI70-AH70)/ABS(AH70)))</f>
        <v/>
      </c>
      <c r="AL70" s="40">
        <f>$B$29</f>
        <v/>
      </c>
      <c r="AM70" s="41" t="n"/>
      <c r="AN70" s="42">
        <f>IF(AM70="","",AM70-AL70)</f>
        <v/>
      </c>
      <c r="AO70" s="43">
        <f>IF(AM70="","",IF(AL70=0,0,(AM70-AL70)/ABS(AL70)))</f>
        <v/>
      </c>
      <c r="AP70" s="40">
        <f>$B$29</f>
        <v/>
      </c>
      <c r="AQ70" s="41" t="n"/>
      <c r="AR70" s="42">
        <f>IF(AQ70="","",AQ70-AP70)</f>
        <v/>
      </c>
      <c r="AS70" s="43">
        <f>IF(AQ70="","",IF(AP70=0,0,(AQ70-AP70)/ABS(AP70)))</f>
        <v/>
      </c>
      <c r="AT70" s="40">
        <f>$B$29</f>
        <v/>
      </c>
      <c r="AU70" s="41" t="n"/>
      <c r="AV70" s="42">
        <f>IF(AU70="","",AU70-AT70)</f>
        <v/>
      </c>
      <c r="AW70" s="43">
        <f>IF(AU70="","",IF(AT70=0,0,(AU70-AT70)/ABS(AT70)))</f>
        <v/>
      </c>
      <c r="AX70" s="40">
        <f>B70+F70+J70+N70+R70+V70+Z70+AD70+AH70+AL70+AP70+AT70</f>
        <v/>
      </c>
      <c r="AY70" s="41">
        <f>SUM(C70,G70,K70,O70,S70,W70,AA70,AE70,AI70,AM70,AQ70,AU70)</f>
        <v/>
      </c>
    </row>
    <row r="71">
      <c r="A71" s="39" t="inlineStr">
        <is>
          <t xml:space="preserve">  Insurance (GL, WC, Vehicle)</t>
        </is>
      </c>
      <c r="B71" s="40">
        <f>$B$30</f>
        <v/>
      </c>
      <c r="C71" s="41" t="n"/>
      <c r="D71" s="42">
        <f>IF(C71="","",C71-B71)</f>
        <v/>
      </c>
      <c r="E71" s="43">
        <f>IF(C71="","",IF(B71=0,0,(C71-B71)/ABS(B71)))</f>
        <v/>
      </c>
      <c r="F71" s="40">
        <f>$B$30</f>
        <v/>
      </c>
      <c r="G71" s="41" t="n"/>
      <c r="H71" s="42">
        <f>IF(G71="","",G71-F71)</f>
        <v/>
      </c>
      <c r="I71" s="43">
        <f>IF(G71="","",IF(F71=0,0,(G71-F71)/ABS(F71)))</f>
        <v/>
      </c>
      <c r="J71" s="40">
        <f>$B$30</f>
        <v/>
      </c>
      <c r="K71" s="41" t="n"/>
      <c r="L71" s="42">
        <f>IF(K71="","",K71-J71)</f>
        <v/>
      </c>
      <c r="M71" s="43">
        <f>IF(K71="","",IF(J71=0,0,(K71-J71)/ABS(J71)))</f>
        <v/>
      </c>
      <c r="N71" s="40">
        <f>$B$30</f>
        <v/>
      </c>
      <c r="O71" s="41" t="n"/>
      <c r="P71" s="42">
        <f>IF(O71="","",O71-N71)</f>
        <v/>
      </c>
      <c r="Q71" s="43">
        <f>IF(O71="","",IF(N71=0,0,(O71-N71)/ABS(N71)))</f>
        <v/>
      </c>
      <c r="R71" s="40">
        <f>$B$30</f>
        <v/>
      </c>
      <c r="S71" s="41" t="n"/>
      <c r="T71" s="42">
        <f>IF(S71="","",S71-R71)</f>
        <v/>
      </c>
      <c r="U71" s="43">
        <f>IF(S71="","",IF(R71=0,0,(S71-R71)/ABS(R71)))</f>
        <v/>
      </c>
      <c r="V71" s="40">
        <f>$B$30</f>
        <v/>
      </c>
      <c r="W71" s="41" t="n"/>
      <c r="X71" s="42">
        <f>IF(W71="","",W71-V71)</f>
        <v/>
      </c>
      <c r="Y71" s="43">
        <f>IF(W71="","",IF(V71=0,0,(W71-V71)/ABS(V71)))</f>
        <v/>
      </c>
      <c r="Z71" s="40">
        <f>$B$30</f>
        <v/>
      </c>
      <c r="AA71" s="41" t="n"/>
      <c r="AB71" s="42">
        <f>IF(AA71="","",AA71-Z71)</f>
        <v/>
      </c>
      <c r="AC71" s="43">
        <f>IF(AA71="","",IF(Z71=0,0,(AA71-Z71)/ABS(Z71)))</f>
        <v/>
      </c>
      <c r="AD71" s="40">
        <f>$B$30</f>
        <v/>
      </c>
      <c r="AE71" s="41" t="n"/>
      <c r="AF71" s="42">
        <f>IF(AE71="","",AE71-AD71)</f>
        <v/>
      </c>
      <c r="AG71" s="43">
        <f>IF(AE71="","",IF(AD71=0,0,(AE71-AD71)/ABS(AD71)))</f>
        <v/>
      </c>
      <c r="AH71" s="40">
        <f>$B$30</f>
        <v/>
      </c>
      <c r="AI71" s="41" t="n"/>
      <c r="AJ71" s="42">
        <f>IF(AI71="","",AI71-AH71)</f>
        <v/>
      </c>
      <c r="AK71" s="43">
        <f>IF(AI71="","",IF(AH71=0,0,(AI71-AH71)/ABS(AH71)))</f>
        <v/>
      </c>
      <c r="AL71" s="40">
        <f>$B$30</f>
        <v/>
      </c>
      <c r="AM71" s="41" t="n"/>
      <c r="AN71" s="42">
        <f>IF(AM71="","",AM71-AL71)</f>
        <v/>
      </c>
      <c r="AO71" s="43">
        <f>IF(AM71="","",IF(AL71=0,0,(AM71-AL71)/ABS(AL71)))</f>
        <v/>
      </c>
      <c r="AP71" s="40">
        <f>$B$30</f>
        <v/>
      </c>
      <c r="AQ71" s="41" t="n"/>
      <c r="AR71" s="42">
        <f>IF(AQ71="","",AQ71-AP71)</f>
        <v/>
      </c>
      <c r="AS71" s="43">
        <f>IF(AQ71="","",IF(AP71=0,0,(AQ71-AP71)/ABS(AP71)))</f>
        <v/>
      </c>
      <c r="AT71" s="40">
        <f>$B$30</f>
        <v/>
      </c>
      <c r="AU71" s="41" t="n"/>
      <c r="AV71" s="42">
        <f>IF(AU71="","",AU71-AT71)</f>
        <v/>
      </c>
      <c r="AW71" s="43">
        <f>IF(AU71="","",IF(AT71=0,0,(AU71-AT71)/ABS(AT71)))</f>
        <v/>
      </c>
      <c r="AX71" s="40">
        <f>B71+F71+J71+N71+R71+V71+Z71+AD71+AH71+AL71+AP71+AT71</f>
        <v/>
      </c>
      <c r="AY71" s="41">
        <f>SUM(C71,G71,K71,O71,S71,W71,AA71,AE71,AI71,AM71,AQ71,AU71)</f>
        <v/>
      </c>
    </row>
    <row r="72">
      <c r="A72" s="39" t="inlineStr">
        <is>
          <t xml:space="preserve">  Vehicle Lease / Fuel</t>
        </is>
      </c>
      <c r="B72" s="40">
        <f>$B$31</f>
        <v/>
      </c>
      <c r="C72" s="41" t="n"/>
      <c r="D72" s="42">
        <f>IF(C72="","",C72-B72)</f>
        <v/>
      </c>
      <c r="E72" s="43">
        <f>IF(C72="","",IF(B72=0,0,(C72-B72)/ABS(B72)))</f>
        <v/>
      </c>
      <c r="F72" s="40">
        <f>$B$31</f>
        <v/>
      </c>
      <c r="G72" s="41" t="n"/>
      <c r="H72" s="42">
        <f>IF(G72="","",G72-F72)</f>
        <v/>
      </c>
      <c r="I72" s="43">
        <f>IF(G72="","",IF(F72=0,0,(G72-F72)/ABS(F72)))</f>
        <v/>
      </c>
      <c r="J72" s="40">
        <f>$B$31</f>
        <v/>
      </c>
      <c r="K72" s="41" t="n"/>
      <c r="L72" s="42">
        <f>IF(K72="","",K72-J72)</f>
        <v/>
      </c>
      <c r="M72" s="43">
        <f>IF(K72="","",IF(J72=0,0,(K72-J72)/ABS(J72)))</f>
        <v/>
      </c>
      <c r="N72" s="40">
        <f>$B$31</f>
        <v/>
      </c>
      <c r="O72" s="41" t="n"/>
      <c r="P72" s="42">
        <f>IF(O72="","",O72-N72)</f>
        <v/>
      </c>
      <c r="Q72" s="43">
        <f>IF(O72="","",IF(N72=0,0,(O72-N72)/ABS(N72)))</f>
        <v/>
      </c>
      <c r="R72" s="40">
        <f>$B$31</f>
        <v/>
      </c>
      <c r="S72" s="41" t="n"/>
      <c r="T72" s="42">
        <f>IF(S72="","",S72-R72)</f>
        <v/>
      </c>
      <c r="U72" s="43">
        <f>IF(S72="","",IF(R72=0,0,(S72-R72)/ABS(R72)))</f>
        <v/>
      </c>
      <c r="V72" s="40">
        <f>$B$31</f>
        <v/>
      </c>
      <c r="W72" s="41" t="n"/>
      <c r="X72" s="42">
        <f>IF(W72="","",W72-V72)</f>
        <v/>
      </c>
      <c r="Y72" s="43">
        <f>IF(W72="","",IF(V72=0,0,(W72-V72)/ABS(V72)))</f>
        <v/>
      </c>
      <c r="Z72" s="40">
        <f>$B$31</f>
        <v/>
      </c>
      <c r="AA72" s="41" t="n"/>
      <c r="AB72" s="42">
        <f>IF(AA72="","",AA72-Z72)</f>
        <v/>
      </c>
      <c r="AC72" s="43">
        <f>IF(AA72="","",IF(Z72=0,0,(AA72-Z72)/ABS(Z72)))</f>
        <v/>
      </c>
      <c r="AD72" s="40">
        <f>$B$31</f>
        <v/>
      </c>
      <c r="AE72" s="41" t="n"/>
      <c r="AF72" s="42">
        <f>IF(AE72="","",AE72-AD72)</f>
        <v/>
      </c>
      <c r="AG72" s="43">
        <f>IF(AE72="","",IF(AD72=0,0,(AE72-AD72)/ABS(AD72)))</f>
        <v/>
      </c>
      <c r="AH72" s="40">
        <f>$B$31</f>
        <v/>
      </c>
      <c r="AI72" s="41" t="n"/>
      <c r="AJ72" s="42">
        <f>IF(AI72="","",AI72-AH72)</f>
        <v/>
      </c>
      <c r="AK72" s="43">
        <f>IF(AI72="","",IF(AH72=0,0,(AI72-AH72)/ABS(AH72)))</f>
        <v/>
      </c>
      <c r="AL72" s="40">
        <f>$B$31</f>
        <v/>
      </c>
      <c r="AM72" s="41" t="n"/>
      <c r="AN72" s="42">
        <f>IF(AM72="","",AM72-AL72)</f>
        <v/>
      </c>
      <c r="AO72" s="43">
        <f>IF(AM72="","",IF(AL72=0,0,(AM72-AL72)/ABS(AL72)))</f>
        <v/>
      </c>
      <c r="AP72" s="40">
        <f>$B$31</f>
        <v/>
      </c>
      <c r="AQ72" s="41" t="n"/>
      <c r="AR72" s="42">
        <f>IF(AQ72="","",AQ72-AP72)</f>
        <v/>
      </c>
      <c r="AS72" s="43">
        <f>IF(AQ72="","",IF(AP72=0,0,(AQ72-AP72)/ABS(AP72)))</f>
        <v/>
      </c>
      <c r="AT72" s="40">
        <f>$B$31</f>
        <v/>
      </c>
      <c r="AU72" s="41" t="n"/>
      <c r="AV72" s="42">
        <f>IF(AU72="","",AU72-AT72)</f>
        <v/>
      </c>
      <c r="AW72" s="43">
        <f>IF(AU72="","",IF(AT72=0,0,(AU72-AT72)/ABS(AT72)))</f>
        <v/>
      </c>
      <c r="AX72" s="40">
        <f>B72+F72+J72+N72+R72+V72+Z72+AD72+AH72+AL72+AP72+AT72</f>
        <v/>
      </c>
      <c r="AY72" s="41">
        <f>SUM(C72,G72,K72,O72,S72,W72,AA72,AE72,AI72,AM72,AQ72,AU72)</f>
        <v/>
      </c>
    </row>
    <row r="73">
      <c r="A73" s="39" t="inlineStr">
        <is>
          <t xml:space="preserve">  Tools &amp; Equipment</t>
        </is>
      </c>
      <c r="B73" s="40">
        <f>$B$32</f>
        <v/>
      </c>
      <c r="C73" s="41" t="n"/>
      <c r="D73" s="42">
        <f>IF(C73="","",C73-B73)</f>
        <v/>
      </c>
      <c r="E73" s="43">
        <f>IF(C73="","",IF(B73=0,0,(C73-B73)/ABS(B73)))</f>
        <v/>
      </c>
      <c r="F73" s="40">
        <f>$B$32</f>
        <v/>
      </c>
      <c r="G73" s="41" t="n"/>
      <c r="H73" s="42">
        <f>IF(G73="","",G73-F73)</f>
        <v/>
      </c>
      <c r="I73" s="43">
        <f>IF(G73="","",IF(F73=0,0,(G73-F73)/ABS(F73)))</f>
        <v/>
      </c>
      <c r="J73" s="40">
        <f>$B$32</f>
        <v/>
      </c>
      <c r="K73" s="41" t="n"/>
      <c r="L73" s="42">
        <f>IF(K73="","",K73-J73)</f>
        <v/>
      </c>
      <c r="M73" s="43">
        <f>IF(K73="","",IF(J73=0,0,(K73-J73)/ABS(J73)))</f>
        <v/>
      </c>
      <c r="N73" s="40">
        <f>$B$32</f>
        <v/>
      </c>
      <c r="O73" s="41" t="n"/>
      <c r="P73" s="42">
        <f>IF(O73="","",O73-N73)</f>
        <v/>
      </c>
      <c r="Q73" s="43">
        <f>IF(O73="","",IF(N73=0,0,(O73-N73)/ABS(N73)))</f>
        <v/>
      </c>
      <c r="R73" s="40">
        <f>$B$32</f>
        <v/>
      </c>
      <c r="S73" s="41" t="n"/>
      <c r="T73" s="42">
        <f>IF(S73="","",S73-R73)</f>
        <v/>
      </c>
      <c r="U73" s="43">
        <f>IF(S73="","",IF(R73=0,0,(S73-R73)/ABS(R73)))</f>
        <v/>
      </c>
      <c r="V73" s="40">
        <f>$B$32</f>
        <v/>
      </c>
      <c r="W73" s="41" t="n"/>
      <c r="X73" s="42">
        <f>IF(W73="","",W73-V73)</f>
        <v/>
      </c>
      <c r="Y73" s="43">
        <f>IF(W73="","",IF(V73=0,0,(W73-V73)/ABS(V73)))</f>
        <v/>
      </c>
      <c r="Z73" s="40">
        <f>$B$32</f>
        <v/>
      </c>
      <c r="AA73" s="41" t="n"/>
      <c r="AB73" s="42">
        <f>IF(AA73="","",AA73-Z73)</f>
        <v/>
      </c>
      <c r="AC73" s="43">
        <f>IF(AA73="","",IF(Z73=0,0,(AA73-Z73)/ABS(Z73)))</f>
        <v/>
      </c>
      <c r="AD73" s="40">
        <f>$B$32</f>
        <v/>
      </c>
      <c r="AE73" s="41" t="n"/>
      <c r="AF73" s="42">
        <f>IF(AE73="","",AE73-AD73)</f>
        <v/>
      </c>
      <c r="AG73" s="43">
        <f>IF(AE73="","",IF(AD73=0,0,(AE73-AD73)/ABS(AD73)))</f>
        <v/>
      </c>
      <c r="AH73" s="40">
        <f>$B$32</f>
        <v/>
      </c>
      <c r="AI73" s="41" t="n"/>
      <c r="AJ73" s="42">
        <f>IF(AI73="","",AI73-AH73)</f>
        <v/>
      </c>
      <c r="AK73" s="43">
        <f>IF(AI73="","",IF(AH73=0,0,(AI73-AH73)/ABS(AH73)))</f>
        <v/>
      </c>
      <c r="AL73" s="40">
        <f>$B$32</f>
        <v/>
      </c>
      <c r="AM73" s="41" t="n"/>
      <c r="AN73" s="42">
        <f>IF(AM73="","",AM73-AL73)</f>
        <v/>
      </c>
      <c r="AO73" s="43">
        <f>IF(AM73="","",IF(AL73=0,0,(AM73-AL73)/ABS(AL73)))</f>
        <v/>
      </c>
      <c r="AP73" s="40">
        <f>$B$32</f>
        <v/>
      </c>
      <c r="AQ73" s="41" t="n"/>
      <c r="AR73" s="42">
        <f>IF(AQ73="","",AQ73-AP73)</f>
        <v/>
      </c>
      <c r="AS73" s="43">
        <f>IF(AQ73="","",IF(AP73=0,0,(AQ73-AP73)/ABS(AP73)))</f>
        <v/>
      </c>
      <c r="AT73" s="40">
        <f>$B$32</f>
        <v/>
      </c>
      <c r="AU73" s="41" t="n"/>
      <c r="AV73" s="42">
        <f>IF(AU73="","",AU73-AT73)</f>
        <v/>
      </c>
      <c r="AW73" s="43">
        <f>IF(AU73="","",IF(AT73=0,0,(AU73-AT73)/ABS(AT73)))</f>
        <v/>
      </c>
      <c r="AX73" s="40">
        <f>B73+F73+J73+N73+R73+V73+Z73+AD73+AH73+AL73+AP73+AT73</f>
        <v/>
      </c>
      <c r="AY73" s="41">
        <f>SUM(C73,G73,K73,O73,S73,W73,AA73,AE73,AI73,AM73,AQ73,AU73)</f>
        <v/>
      </c>
    </row>
    <row r="74">
      <c r="A74" s="39" t="inlineStr">
        <is>
          <t xml:space="preserve">  Admin Salaries</t>
        </is>
      </c>
      <c r="B74" s="40">
        <f>$B$33</f>
        <v/>
      </c>
      <c r="C74" s="41" t="n"/>
      <c r="D74" s="42">
        <f>IF(C74="","",C74-B74)</f>
        <v/>
      </c>
      <c r="E74" s="43">
        <f>IF(C74="","",IF(B74=0,0,(C74-B74)/ABS(B74)))</f>
        <v/>
      </c>
      <c r="F74" s="40">
        <f>$B$33</f>
        <v/>
      </c>
      <c r="G74" s="41" t="n"/>
      <c r="H74" s="42">
        <f>IF(G74="","",G74-F74)</f>
        <v/>
      </c>
      <c r="I74" s="43">
        <f>IF(G74="","",IF(F74=0,0,(G74-F74)/ABS(F74)))</f>
        <v/>
      </c>
      <c r="J74" s="40">
        <f>$B$33</f>
        <v/>
      </c>
      <c r="K74" s="41" t="n"/>
      <c r="L74" s="42">
        <f>IF(K74="","",K74-J74)</f>
        <v/>
      </c>
      <c r="M74" s="43">
        <f>IF(K74="","",IF(J74=0,0,(K74-J74)/ABS(J74)))</f>
        <v/>
      </c>
      <c r="N74" s="40">
        <f>$B$33</f>
        <v/>
      </c>
      <c r="O74" s="41" t="n"/>
      <c r="P74" s="42">
        <f>IF(O74="","",O74-N74)</f>
        <v/>
      </c>
      <c r="Q74" s="43">
        <f>IF(O74="","",IF(N74=0,0,(O74-N74)/ABS(N74)))</f>
        <v/>
      </c>
      <c r="R74" s="40">
        <f>$B$33</f>
        <v/>
      </c>
      <c r="S74" s="41" t="n"/>
      <c r="T74" s="42">
        <f>IF(S74="","",S74-R74)</f>
        <v/>
      </c>
      <c r="U74" s="43">
        <f>IF(S74="","",IF(R74=0,0,(S74-R74)/ABS(R74)))</f>
        <v/>
      </c>
      <c r="V74" s="40">
        <f>$B$33</f>
        <v/>
      </c>
      <c r="W74" s="41" t="n"/>
      <c r="X74" s="42">
        <f>IF(W74="","",W74-V74)</f>
        <v/>
      </c>
      <c r="Y74" s="43">
        <f>IF(W74="","",IF(V74=0,0,(W74-V74)/ABS(V74)))</f>
        <v/>
      </c>
      <c r="Z74" s="40">
        <f>$B$33</f>
        <v/>
      </c>
      <c r="AA74" s="41" t="n"/>
      <c r="AB74" s="42">
        <f>IF(AA74="","",AA74-Z74)</f>
        <v/>
      </c>
      <c r="AC74" s="43">
        <f>IF(AA74="","",IF(Z74=0,0,(AA74-Z74)/ABS(Z74)))</f>
        <v/>
      </c>
      <c r="AD74" s="40">
        <f>$B$33</f>
        <v/>
      </c>
      <c r="AE74" s="41" t="n"/>
      <c r="AF74" s="42">
        <f>IF(AE74="","",AE74-AD74)</f>
        <v/>
      </c>
      <c r="AG74" s="43">
        <f>IF(AE74="","",IF(AD74=0,0,(AE74-AD74)/ABS(AD74)))</f>
        <v/>
      </c>
      <c r="AH74" s="40">
        <f>$B$33</f>
        <v/>
      </c>
      <c r="AI74" s="41" t="n"/>
      <c r="AJ74" s="42">
        <f>IF(AI74="","",AI74-AH74)</f>
        <v/>
      </c>
      <c r="AK74" s="43">
        <f>IF(AI74="","",IF(AH74=0,0,(AI74-AH74)/ABS(AH74)))</f>
        <v/>
      </c>
      <c r="AL74" s="40">
        <f>$B$33</f>
        <v/>
      </c>
      <c r="AM74" s="41" t="n"/>
      <c r="AN74" s="42">
        <f>IF(AM74="","",AM74-AL74)</f>
        <v/>
      </c>
      <c r="AO74" s="43">
        <f>IF(AM74="","",IF(AL74=0,0,(AM74-AL74)/ABS(AL74)))</f>
        <v/>
      </c>
      <c r="AP74" s="40">
        <f>$B$33</f>
        <v/>
      </c>
      <c r="AQ74" s="41" t="n"/>
      <c r="AR74" s="42">
        <f>IF(AQ74="","",AQ74-AP74)</f>
        <v/>
      </c>
      <c r="AS74" s="43">
        <f>IF(AQ74="","",IF(AP74=0,0,(AQ74-AP74)/ABS(AP74)))</f>
        <v/>
      </c>
      <c r="AT74" s="40">
        <f>$B$33</f>
        <v/>
      </c>
      <c r="AU74" s="41" t="n"/>
      <c r="AV74" s="42">
        <f>IF(AU74="","",AU74-AT74)</f>
        <v/>
      </c>
      <c r="AW74" s="43">
        <f>IF(AU74="","",IF(AT74=0,0,(AU74-AT74)/ABS(AT74)))</f>
        <v/>
      </c>
      <c r="AX74" s="40">
        <f>B74+F74+J74+N74+R74+V74+Z74+AD74+AH74+AL74+AP74+AT74</f>
        <v/>
      </c>
      <c r="AY74" s="41">
        <f>SUM(C74,G74,K74,O74,S74,W74,AA74,AE74,AI74,AM74,AQ74,AU74)</f>
        <v/>
      </c>
    </row>
    <row r="75">
      <c r="A75" s="39" t="inlineStr">
        <is>
          <t xml:space="preserve">  Software / IT</t>
        </is>
      </c>
      <c r="B75" s="40">
        <f>$B$34</f>
        <v/>
      </c>
      <c r="C75" s="41" t="n"/>
      <c r="D75" s="42">
        <f>IF(C75="","",C75-B75)</f>
        <v/>
      </c>
      <c r="E75" s="43">
        <f>IF(C75="","",IF(B75=0,0,(C75-B75)/ABS(B75)))</f>
        <v/>
      </c>
      <c r="F75" s="40">
        <f>$B$34</f>
        <v/>
      </c>
      <c r="G75" s="41" t="n"/>
      <c r="H75" s="42">
        <f>IF(G75="","",G75-F75)</f>
        <v/>
      </c>
      <c r="I75" s="43">
        <f>IF(G75="","",IF(F75=0,0,(G75-F75)/ABS(F75)))</f>
        <v/>
      </c>
      <c r="J75" s="40">
        <f>$B$34</f>
        <v/>
      </c>
      <c r="K75" s="41" t="n"/>
      <c r="L75" s="42">
        <f>IF(K75="","",K75-J75)</f>
        <v/>
      </c>
      <c r="M75" s="43">
        <f>IF(K75="","",IF(J75=0,0,(K75-J75)/ABS(J75)))</f>
        <v/>
      </c>
      <c r="N75" s="40">
        <f>$B$34</f>
        <v/>
      </c>
      <c r="O75" s="41" t="n"/>
      <c r="P75" s="42">
        <f>IF(O75="","",O75-N75)</f>
        <v/>
      </c>
      <c r="Q75" s="43">
        <f>IF(O75="","",IF(N75=0,0,(O75-N75)/ABS(N75)))</f>
        <v/>
      </c>
      <c r="R75" s="40">
        <f>$B$34</f>
        <v/>
      </c>
      <c r="S75" s="41" t="n"/>
      <c r="T75" s="42">
        <f>IF(S75="","",S75-R75)</f>
        <v/>
      </c>
      <c r="U75" s="43">
        <f>IF(S75="","",IF(R75=0,0,(S75-R75)/ABS(R75)))</f>
        <v/>
      </c>
      <c r="V75" s="40">
        <f>$B$34</f>
        <v/>
      </c>
      <c r="W75" s="41" t="n"/>
      <c r="X75" s="42">
        <f>IF(W75="","",W75-V75)</f>
        <v/>
      </c>
      <c r="Y75" s="43">
        <f>IF(W75="","",IF(V75=0,0,(W75-V75)/ABS(V75)))</f>
        <v/>
      </c>
      <c r="Z75" s="40">
        <f>$B$34</f>
        <v/>
      </c>
      <c r="AA75" s="41" t="n"/>
      <c r="AB75" s="42">
        <f>IF(AA75="","",AA75-Z75)</f>
        <v/>
      </c>
      <c r="AC75" s="43">
        <f>IF(AA75="","",IF(Z75=0,0,(AA75-Z75)/ABS(Z75)))</f>
        <v/>
      </c>
      <c r="AD75" s="40">
        <f>$B$34</f>
        <v/>
      </c>
      <c r="AE75" s="41" t="n"/>
      <c r="AF75" s="42">
        <f>IF(AE75="","",AE75-AD75)</f>
        <v/>
      </c>
      <c r="AG75" s="43">
        <f>IF(AE75="","",IF(AD75=0,0,(AE75-AD75)/ABS(AD75)))</f>
        <v/>
      </c>
      <c r="AH75" s="40">
        <f>$B$34</f>
        <v/>
      </c>
      <c r="AI75" s="41" t="n"/>
      <c r="AJ75" s="42">
        <f>IF(AI75="","",AI75-AH75)</f>
        <v/>
      </c>
      <c r="AK75" s="43">
        <f>IF(AI75="","",IF(AH75=0,0,(AI75-AH75)/ABS(AH75)))</f>
        <v/>
      </c>
      <c r="AL75" s="40">
        <f>$B$34</f>
        <v/>
      </c>
      <c r="AM75" s="41" t="n"/>
      <c r="AN75" s="42">
        <f>IF(AM75="","",AM75-AL75)</f>
        <v/>
      </c>
      <c r="AO75" s="43">
        <f>IF(AM75="","",IF(AL75=0,0,(AM75-AL75)/ABS(AL75)))</f>
        <v/>
      </c>
      <c r="AP75" s="40">
        <f>$B$34</f>
        <v/>
      </c>
      <c r="AQ75" s="41" t="n"/>
      <c r="AR75" s="42">
        <f>IF(AQ75="","",AQ75-AP75)</f>
        <v/>
      </c>
      <c r="AS75" s="43">
        <f>IF(AQ75="","",IF(AP75=0,0,(AQ75-AP75)/ABS(AP75)))</f>
        <v/>
      </c>
      <c r="AT75" s="40">
        <f>$B$34</f>
        <v/>
      </c>
      <c r="AU75" s="41" t="n"/>
      <c r="AV75" s="42">
        <f>IF(AU75="","",AU75-AT75)</f>
        <v/>
      </c>
      <c r="AW75" s="43">
        <f>IF(AU75="","",IF(AT75=0,0,(AU75-AT75)/ABS(AT75)))</f>
        <v/>
      </c>
      <c r="AX75" s="40">
        <f>B75+F75+J75+N75+R75+V75+Z75+AD75+AH75+AL75+AP75+AT75</f>
        <v/>
      </c>
      <c r="AY75" s="41">
        <f>SUM(C75,G75,K75,O75,S75,W75,AA75,AE75,AI75,AM75,AQ75,AU75)</f>
        <v/>
      </c>
    </row>
    <row r="76">
      <c r="A76" s="39" t="inlineStr">
        <is>
          <t xml:space="preserve">  Professional Fees (Legal, Acct)</t>
        </is>
      </c>
      <c r="B76" s="40">
        <f>$B$35</f>
        <v/>
      </c>
      <c r="C76" s="41" t="n"/>
      <c r="D76" s="42">
        <f>IF(C76="","",C76-B76)</f>
        <v/>
      </c>
      <c r="E76" s="43">
        <f>IF(C76="","",IF(B76=0,0,(C76-B76)/ABS(B76)))</f>
        <v/>
      </c>
      <c r="F76" s="40">
        <f>$B$35</f>
        <v/>
      </c>
      <c r="G76" s="41" t="n"/>
      <c r="H76" s="42">
        <f>IF(G76="","",G76-F76)</f>
        <v/>
      </c>
      <c r="I76" s="43">
        <f>IF(G76="","",IF(F76=0,0,(G76-F76)/ABS(F76)))</f>
        <v/>
      </c>
      <c r="J76" s="40">
        <f>$B$35</f>
        <v/>
      </c>
      <c r="K76" s="41" t="n"/>
      <c r="L76" s="42">
        <f>IF(K76="","",K76-J76)</f>
        <v/>
      </c>
      <c r="M76" s="43">
        <f>IF(K76="","",IF(J76=0,0,(K76-J76)/ABS(J76)))</f>
        <v/>
      </c>
      <c r="N76" s="40">
        <f>$B$35</f>
        <v/>
      </c>
      <c r="O76" s="41" t="n"/>
      <c r="P76" s="42">
        <f>IF(O76="","",O76-N76)</f>
        <v/>
      </c>
      <c r="Q76" s="43">
        <f>IF(O76="","",IF(N76=0,0,(O76-N76)/ABS(N76)))</f>
        <v/>
      </c>
      <c r="R76" s="40">
        <f>$B$35</f>
        <v/>
      </c>
      <c r="S76" s="41" t="n"/>
      <c r="T76" s="42">
        <f>IF(S76="","",S76-R76)</f>
        <v/>
      </c>
      <c r="U76" s="43">
        <f>IF(S76="","",IF(R76=0,0,(S76-R76)/ABS(R76)))</f>
        <v/>
      </c>
      <c r="V76" s="40">
        <f>$B$35</f>
        <v/>
      </c>
      <c r="W76" s="41" t="n"/>
      <c r="X76" s="42">
        <f>IF(W76="","",W76-V76)</f>
        <v/>
      </c>
      <c r="Y76" s="43">
        <f>IF(W76="","",IF(V76=0,0,(W76-V76)/ABS(V76)))</f>
        <v/>
      </c>
      <c r="Z76" s="40">
        <f>$B$35</f>
        <v/>
      </c>
      <c r="AA76" s="41" t="n"/>
      <c r="AB76" s="42">
        <f>IF(AA76="","",AA76-Z76)</f>
        <v/>
      </c>
      <c r="AC76" s="43">
        <f>IF(AA76="","",IF(Z76=0,0,(AA76-Z76)/ABS(Z76)))</f>
        <v/>
      </c>
      <c r="AD76" s="40">
        <f>$B$35</f>
        <v/>
      </c>
      <c r="AE76" s="41" t="n"/>
      <c r="AF76" s="42">
        <f>IF(AE76="","",AE76-AD76)</f>
        <v/>
      </c>
      <c r="AG76" s="43">
        <f>IF(AE76="","",IF(AD76=0,0,(AE76-AD76)/ABS(AD76)))</f>
        <v/>
      </c>
      <c r="AH76" s="40">
        <f>$B$35</f>
        <v/>
      </c>
      <c r="AI76" s="41" t="n"/>
      <c r="AJ76" s="42">
        <f>IF(AI76="","",AI76-AH76)</f>
        <v/>
      </c>
      <c r="AK76" s="43">
        <f>IF(AI76="","",IF(AH76=0,0,(AI76-AH76)/ABS(AH76)))</f>
        <v/>
      </c>
      <c r="AL76" s="40">
        <f>$B$35</f>
        <v/>
      </c>
      <c r="AM76" s="41" t="n"/>
      <c r="AN76" s="42">
        <f>IF(AM76="","",AM76-AL76)</f>
        <v/>
      </c>
      <c r="AO76" s="43">
        <f>IF(AM76="","",IF(AL76=0,0,(AM76-AL76)/ABS(AL76)))</f>
        <v/>
      </c>
      <c r="AP76" s="40">
        <f>$B$35</f>
        <v/>
      </c>
      <c r="AQ76" s="41" t="n"/>
      <c r="AR76" s="42">
        <f>IF(AQ76="","",AQ76-AP76)</f>
        <v/>
      </c>
      <c r="AS76" s="43">
        <f>IF(AQ76="","",IF(AP76=0,0,(AQ76-AP76)/ABS(AP76)))</f>
        <v/>
      </c>
      <c r="AT76" s="40">
        <f>$B$35</f>
        <v/>
      </c>
      <c r="AU76" s="41" t="n"/>
      <c r="AV76" s="42">
        <f>IF(AU76="","",AU76-AT76)</f>
        <v/>
      </c>
      <c r="AW76" s="43">
        <f>IF(AU76="","",IF(AT76=0,0,(AU76-AT76)/ABS(AT76)))</f>
        <v/>
      </c>
      <c r="AX76" s="40">
        <f>B76+F76+J76+N76+R76+V76+Z76+AD76+AH76+AL76+AP76+AT76</f>
        <v/>
      </c>
      <c r="AY76" s="41">
        <f>SUM(C76,G76,K76,O76,S76,W76,AA76,AE76,AI76,AM76,AQ76,AU76)</f>
        <v/>
      </c>
    </row>
    <row r="77">
      <c r="A77" s="39" t="inlineStr">
        <is>
          <t xml:space="preserve">  Marketing / Biz Dev</t>
        </is>
      </c>
      <c r="B77" s="40">
        <f>$B$36</f>
        <v/>
      </c>
      <c r="C77" s="41" t="n"/>
      <c r="D77" s="42">
        <f>IF(C77="","",C77-B77)</f>
        <v/>
      </c>
      <c r="E77" s="43">
        <f>IF(C77="","",IF(B77=0,0,(C77-B77)/ABS(B77)))</f>
        <v/>
      </c>
      <c r="F77" s="40">
        <f>$B$36</f>
        <v/>
      </c>
      <c r="G77" s="41" t="n"/>
      <c r="H77" s="42">
        <f>IF(G77="","",G77-F77)</f>
        <v/>
      </c>
      <c r="I77" s="43">
        <f>IF(G77="","",IF(F77=0,0,(G77-F77)/ABS(F77)))</f>
        <v/>
      </c>
      <c r="J77" s="40">
        <f>$B$36</f>
        <v/>
      </c>
      <c r="K77" s="41" t="n"/>
      <c r="L77" s="42">
        <f>IF(K77="","",K77-J77)</f>
        <v/>
      </c>
      <c r="M77" s="43">
        <f>IF(K77="","",IF(J77=0,0,(K77-J77)/ABS(J77)))</f>
        <v/>
      </c>
      <c r="N77" s="40">
        <f>$B$36</f>
        <v/>
      </c>
      <c r="O77" s="41" t="n"/>
      <c r="P77" s="42">
        <f>IF(O77="","",O77-N77)</f>
        <v/>
      </c>
      <c r="Q77" s="43">
        <f>IF(O77="","",IF(N77=0,0,(O77-N77)/ABS(N77)))</f>
        <v/>
      </c>
      <c r="R77" s="40">
        <f>$B$36</f>
        <v/>
      </c>
      <c r="S77" s="41" t="n"/>
      <c r="T77" s="42">
        <f>IF(S77="","",S77-R77)</f>
        <v/>
      </c>
      <c r="U77" s="43">
        <f>IF(S77="","",IF(R77=0,0,(S77-R77)/ABS(R77)))</f>
        <v/>
      </c>
      <c r="V77" s="40">
        <f>$B$36</f>
        <v/>
      </c>
      <c r="W77" s="41" t="n"/>
      <c r="X77" s="42">
        <f>IF(W77="","",W77-V77)</f>
        <v/>
      </c>
      <c r="Y77" s="43">
        <f>IF(W77="","",IF(V77=0,0,(W77-V77)/ABS(V77)))</f>
        <v/>
      </c>
      <c r="Z77" s="40">
        <f>$B$36</f>
        <v/>
      </c>
      <c r="AA77" s="41" t="n"/>
      <c r="AB77" s="42">
        <f>IF(AA77="","",AA77-Z77)</f>
        <v/>
      </c>
      <c r="AC77" s="43">
        <f>IF(AA77="","",IF(Z77=0,0,(AA77-Z77)/ABS(Z77)))</f>
        <v/>
      </c>
      <c r="AD77" s="40">
        <f>$B$36</f>
        <v/>
      </c>
      <c r="AE77" s="41" t="n"/>
      <c r="AF77" s="42">
        <f>IF(AE77="","",AE77-AD77)</f>
        <v/>
      </c>
      <c r="AG77" s="43">
        <f>IF(AE77="","",IF(AD77=0,0,(AE77-AD77)/ABS(AD77)))</f>
        <v/>
      </c>
      <c r="AH77" s="40">
        <f>$B$36</f>
        <v/>
      </c>
      <c r="AI77" s="41" t="n"/>
      <c r="AJ77" s="42">
        <f>IF(AI77="","",AI77-AH77)</f>
        <v/>
      </c>
      <c r="AK77" s="43">
        <f>IF(AI77="","",IF(AH77=0,0,(AI77-AH77)/ABS(AH77)))</f>
        <v/>
      </c>
      <c r="AL77" s="40">
        <f>$B$36</f>
        <v/>
      </c>
      <c r="AM77" s="41" t="n"/>
      <c r="AN77" s="42">
        <f>IF(AM77="","",AM77-AL77)</f>
        <v/>
      </c>
      <c r="AO77" s="43">
        <f>IF(AM77="","",IF(AL77=0,0,(AM77-AL77)/ABS(AL77)))</f>
        <v/>
      </c>
      <c r="AP77" s="40">
        <f>$B$36</f>
        <v/>
      </c>
      <c r="AQ77" s="41" t="n"/>
      <c r="AR77" s="42">
        <f>IF(AQ77="","",AQ77-AP77)</f>
        <v/>
      </c>
      <c r="AS77" s="43">
        <f>IF(AQ77="","",IF(AP77=0,0,(AQ77-AP77)/ABS(AP77)))</f>
        <v/>
      </c>
      <c r="AT77" s="40">
        <f>$B$36</f>
        <v/>
      </c>
      <c r="AU77" s="41" t="n"/>
      <c r="AV77" s="42">
        <f>IF(AU77="","",AU77-AT77)</f>
        <v/>
      </c>
      <c r="AW77" s="43">
        <f>IF(AU77="","",IF(AT77=0,0,(AU77-AT77)/ABS(AT77)))</f>
        <v/>
      </c>
      <c r="AX77" s="40">
        <f>B77+F77+J77+N77+R77+V77+Z77+AD77+AH77+AL77+AP77+AT77</f>
        <v/>
      </c>
      <c r="AY77" s="41">
        <f>SUM(C77,G77,K77,O77,S77,W77,AA77,AE77,AI77,AM77,AQ77,AU77)</f>
        <v/>
      </c>
    </row>
    <row r="78">
      <c r="A78" s="39" t="inlineStr">
        <is>
          <t xml:space="preserve">  Utilities</t>
        </is>
      </c>
      <c r="B78" s="40">
        <f>$B$37</f>
        <v/>
      </c>
      <c r="C78" s="41" t="n"/>
      <c r="D78" s="42">
        <f>IF(C78="","",C78-B78)</f>
        <v/>
      </c>
      <c r="E78" s="43">
        <f>IF(C78="","",IF(B78=0,0,(C78-B78)/ABS(B78)))</f>
        <v/>
      </c>
      <c r="F78" s="40">
        <f>$B$37</f>
        <v/>
      </c>
      <c r="G78" s="41" t="n"/>
      <c r="H78" s="42">
        <f>IF(G78="","",G78-F78)</f>
        <v/>
      </c>
      <c r="I78" s="43">
        <f>IF(G78="","",IF(F78=0,0,(G78-F78)/ABS(F78)))</f>
        <v/>
      </c>
      <c r="J78" s="40">
        <f>$B$37</f>
        <v/>
      </c>
      <c r="K78" s="41" t="n"/>
      <c r="L78" s="42">
        <f>IF(K78="","",K78-J78)</f>
        <v/>
      </c>
      <c r="M78" s="43">
        <f>IF(K78="","",IF(J78=0,0,(K78-J78)/ABS(J78)))</f>
        <v/>
      </c>
      <c r="N78" s="40">
        <f>$B$37</f>
        <v/>
      </c>
      <c r="O78" s="41" t="n"/>
      <c r="P78" s="42">
        <f>IF(O78="","",O78-N78)</f>
        <v/>
      </c>
      <c r="Q78" s="43">
        <f>IF(O78="","",IF(N78=0,0,(O78-N78)/ABS(N78)))</f>
        <v/>
      </c>
      <c r="R78" s="40">
        <f>$B$37</f>
        <v/>
      </c>
      <c r="S78" s="41" t="n"/>
      <c r="T78" s="42">
        <f>IF(S78="","",S78-R78)</f>
        <v/>
      </c>
      <c r="U78" s="43">
        <f>IF(S78="","",IF(R78=0,0,(S78-R78)/ABS(R78)))</f>
        <v/>
      </c>
      <c r="V78" s="40">
        <f>$B$37</f>
        <v/>
      </c>
      <c r="W78" s="41" t="n"/>
      <c r="X78" s="42">
        <f>IF(W78="","",W78-V78)</f>
        <v/>
      </c>
      <c r="Y78" s="43">
        <f>IF(W78="","",IF(V78=0,0,(W78-V78)/ABS(V78)))</f>
        <v/>
      </c>
      <c r="Z78" s="40">
        <f>$B$37</f>
        <v/>
      </c>
      <c r="AA78" s="41" t="n"/>
      <c r="AB78" s="42">
        <f>IF(AA78="","",AA78-Z78)</f>
        <v/>
      </c>
      <c r="AC78" s="43">
        <f>IF(AA78="","",IF(Z78=0,0,(AA78-Z78)/ABS(Z78)))</f>
        <v/>
      </c>
      <c r="AD78" s="40">
        <f>$B$37</f>
        <v/>
      </c>
      <c r="AE78" s="41" t="n"/>
      <c r="AF78" s="42">
        <f>IF(AE78="","",AE78-AD78)</f>
        <v/>
      </c>
      <c r="AG78" s="43">
        <f>IF(AE78="","",IF(AD78=0,0,(AE78-AD78)/ABS(AD78)))</f>
        <v/>
      </c>
      <c r="AH78" s="40">
        <f>$B$37</f>
        <v/>
      </c>
      <c r="AI78" s="41" t="n"/>
      <c r="AJ78" s="42">
        <f>IF(AI78="","",AI78-AH78)</f>
        <v/>
      </c>
      <c r="AK78" s="43">
        <f>IF(AI78="","",IF(AH78=0,0,(AI78-AH78)/ABS(AH78)))</f>
        <v/>
      </c>
      <c r="AL78" s="40">
        <f>$B$37</f>
        <v/>
      </c>
      <c r="AM78" s="41" t="n"/>
      <c r="AN78" s="42">
        <f>IF(AM78="","",AM78-AL78)</f>
        <v/>
      </c>
      <c r="AO78" s="43">
        <f>IF(AM78="","",IF(AL78=0,0,(AM78-AL78)/ABS(AL78)))</f>
        <v/>
      </c>
      <c r="AP78" s="40">
        <f>$B$37</f>
        <v/>
      </c>
      <c r="AQ78" s="41" t="n"/>
      <c r="AR78" s="42">
        <f>IF(AQ78="","",AQ78-AP78)</f>
        <v/>
      </c>
      <c r="AS78" s="43">
        <f>IF(AQ78="","",IF(AP78=0,0,(AQ78-AP78)/ABS(AP78)))</f>
        <v/>
      </c>
      <c r="AT78" s="40">
        <f>$B$37</f>
        <v/>
      </c>
      <c r="AU78" s="41" t="n"/>
      <c r="AV78" s="42">
        <f>IF(AU78="","",AU78-AT78)</f>
        <v/>
      </c>
      <c r="AW78" s="43">
        <f>IF(AU78="","",IF(AT78=0,0,(AU78-AT78)/ABS(AT78)))</f>
        <v/>
      </c>
      <c r="AX78" s="40">
        <f>B78+F78+J78+N78+R78+V78+Z78+AD78+AH78+AL78+AP78+AT78</f>
        <v/>
      </c>
      <c r="AY78" s="41">
        <f>SUM(C78,G78,K78,O78,S78,W78,AA78,AE78,AI78,AM78,AQ78,AU78)</f>
        <v/>
      </c>
    </row>
    <row r="79">
      <c r="A79" s="39" t="inlineStr">
        <is>
          <t xml:space="preserve">  Office Supplies</t>
        </is>
      </c>
      <c r="B79" s="40">
        <f>$B$38</f>
        <v/>
      </c>
      <c r="C79" s="41" t="n"/>
      <c r="D79" s="42">
        <f>IF(C79="","",C79-B79)</f>
        <v/>
      </c>
      <c r="E79" s="43">
        <f>IF(C79="","",IF(B79=0,0,(C79-B79)/ABS(B79)))</f>
        <v/>
      </c>
      <c r="F79" s="40">
        <f>$B$38</f>
        <v/>
      </c>
      <c r="G79" s="41" t="n"/>
      <c r="H79" s="42">
        <f>IF(G79="","",G79-F79)</f>
        <v/>
      </c>
      <c r="I79" s="43">
        <f>IF(G79="","",IF(F79=0,0,(G79-F79)/ABS(F79)))</f>
        <v/>
      </c>
      <c r="J79" s="40">
        <f>$B$38</f>
        <v/>
      </c>
      <c r="K79" s="41" t="n"/>
      <c r="L79" s="42">
        <f>IF(K79="","",K79-J79)</f>
        <v/>
      </c>
      <c r="M79" s="43">
        <f>IF(K79="","",IF(J79=0,0,(K79-J79)/ABS(J79)))</f>
        <v/>
      </c>
      <c r="N79" s="40">
        <f>$B$38</f>
        <v/>
      </c>
      <c r="O79" s="41" t="n"/>
      <c r="P79" s="42">
        <f>IF(O79="","",O79-N79)</f>
        <v/>
      </c>
      <c r="Q79" s="43">
        <f>IF(O79="","",IF(N79=0,0,(O79-N79)/ABS(N79)))</f>
        <v/>
      </c>
      <c r="R79" s="40">
        <f>$B$38</f>
        <v/>
      </c>
      <c r="S79" s="41" t="n"/>
      <c r="T79" s="42">
        <f>IF(S79="","",S79-R79)</f>
        <v/>
      </c>
      <c r="U79" s="43">
        <f>IF(S79="","",IF(R79=0,0,(S79-R79)/ABS(R79)))</f>
        <v/>
      </c>
      <c r="V79" s="40">
        <f>$B$38</f>
        <v/>
      </c>
      <c r="W79" s="41" t="n"/>
      <c r="X79" s="42">
        <f>IF(W79="","",W79-V79)</f>
        <v/>
      </c>
      <c r="Y79" s="43">
        <f>IF(W79="","",IF(V79=0,0,(W79-V79)/ABS(V79)))</f>
        <v/>
      </c>
      <c r="Z79" s="40">
        <f>$B$38</f>
        <v/>
      </c>
      <c r="AA79" s="41" t="n"/>
      <c r="AB79" s="42">
        <f>IF(AA79="","",AA79-Z79)</f>
        <v/>
      </c>
      <c r="AC79" s="43">
        <f>IF(AA79="","",IF(Z79=0,0,(AA79-Z79)/ABS(Z79)))</f>
        <v/>
      </c>
      <c r="AD79" s="40">
        <f>$B$38</f>
        <v/>
      </c>
      <c r="AE79" s="41" t="n"/>
      <c r="AF79" s="42">
        <f>IF(AE79="","",AE79-AD79)</f>
        <v/>
      </c>
      <c r="AG79" s="43">
        <f>IF(AE79="","",IF(AD79=0,0,(AE79-AD79)/ABS(AD79)))</f>
        <v/>
      </c>
      <c r="AH79" s="40">
        <f>$B$38</f>
        <v/>
      </c>
      <c r="AI79" s="41" t="n"/>
      <c r="AJ79" s="42">
        <f>IF(AI79="","",AI79-AH79)</f>
        <v/>
      </c>
      <c r="AK79" s="43">
        <f>IF(AI79="","",IF(AH79=0,0,(AI79-AH79)/ABS(AH79)))</f>
        <v/>
      </c>
      <c r="AL79" s="40">
        <f>$B$38</f>
        <v/>
      </c>
      <c r="AM79" s="41" t="n"/>
      <c r="AN79" s="42">
        <f>IF(AM79="","",AM79-AL79)</f>
        <v/>
      </c>
      <c r="AO79" s="43">
        <f>IF(AM79="","",IF(AL79=0,0,(AM79-AL79)/ABS(AL79)))</f>
        <v/>
      </c>
      <c r="AP79" s="40">
        <f>$B$38</f>
        <v/>
      </c>
      <c r="AQ79" s="41" t="n"/>
      <c r="AR79" s="42">
        <f>IF(AQ79="","",AQ79-AP79)</f>
        <v/>
      </c>
      <c r="AS79" s="43">
        <f>IF(AQ79="","",IF(AP79=0,0,(AQ79-AP79)/ABS(AP79)))</f>
        <v/>
      </c>
      <c r="AT79" s="40">
        <f>$B$38</f>
        <v/>
      </c>
      <c r="AU79" s="41" t="n"/>
      <c r="AV79" s="42">
        <f>IF(AU79="","",AU79-AT79)</f>
        <v/>
      </c>
      <c r="AW79" s="43">
        <f>IF(AU79="","",IF(AT79=0,0,(AU79-AT79)/ABS(AT79)))</f>
        <v/>
      </c>
      <c r="AX79" s="40">
        <f>B79+F79+J79+N79+R79+V79+Z79+AD79+AH79+AL79+AP79+AT79</f>
        <v/>
      </c>
      <c r="AY79" s="41">
        <f>SUM(C79,G79,K79,O79,S79,W79,AA79,AE79,AI79,AM79,AQ79,AU79)</f>
        <v/>
      </c>
    </row>
    <row r="80">
      <c r="A80" s="39" t="inlineStr">
        <is>
          <t xml:space="preserve">  Permits &amp; Licenses</t>
        </is>
      </c>
      <c r="B80" s="40">
        <f>$B$39</f>
        <v/>
      </c>
      <c r="C80" s="41" t="n"/>
      <c r="D80" s="42">
        <f>IF(C80="","",C80-B80)</f>
        <v/>
      </c>
      <c r="E80" s="43">
        <f>IF(C80="","",IF(B80=0,0,(C80-B80)/ABS(B80)))</f>
        <v/>
      </c>
      <c r="F80" s="40">
        <f>$B$39</f>
        <v/>
      </c>
      <c r="G80" s="41" t="n"/>
      <c r="H80" s="42">
        <f>IF(G80="","",G80-F80)</f>
        <v/>
      </c>
      <c r="I80" s="43">
        <f>IF(G80="","",IF(F80=0,0,(G80-F80)/ABS(F80)))</f>
        <v/>
      </c>
      <c r="J80" s="40">
        <f>$B$39</f>
        <v/>
      </c>
      <c r="K80" s="41" t="n"/>
      <c r="L80" s="42">
        <f>IF(K80="","",K80-J80)</f>
        <v/>
      </c>
      <c r="M80" s="43">
        <f>IF(K80="","",IF(J80=0,0,(K80-J80)/ABS(J80)))</f>
        <v/>
      </c>
      <c r="N80" s="40">
        <f>$B$39</f>
        <v/>
      </c>
      <c r="O80" s="41" t="n"/>
      <c r="P80" s="42">
        <f>IF(O80="","",O80-N80)</f>
        <v/>
      </c>
      <c r="Q80" s="43">
        <f>IF(O80="","",IF(N80=0,0,(O80-N80)/ABS(N80)))</f>
        <v/>
      </c>
      <c r="R80" s="40">
        <f>$B$39</f>
        <v/>
      </c>
      <c r="S80" s="41" t="n"/>
      <c r="T80" s="42">
        <f>IF(S80="","",S80-R80)</f>
        <v/>
      </c>
      <c r="U80" s="43">
        <f>IF(S80="","",IF(R80=0,0,(S80-R80)/ABS(R80)))</f>
        <v/>
      </c>
      <c r="V80" s="40">
        <f>$B$39</f>
        <v/>
      </c>
      <c r="W80" s="41" t="n"/>
      <c r="X80" s="42">
        <f>IF(W80="","",W80-V80)</f>
        <v/>
      </c>
      <c r="Y80" s="43">
        <f>IF(W80="","",IF(V80=0,0,(W80-V80)/ABS(V80)))</f>
        <v/>
      </c>
      <c r="Z80" s="40">
        <f>$B$39</f>
        <v/>
      </c>
      <c r="AA80" s="41" t="n"/>
      <c r="AB80" s="42">
        <f>IF(AA80="","",AA80-Z80)</f>
        <v/>
      </c>
      <c r="AC80" s="43">
        <f>IF(AA80="","",IF(Z80=0,0,(AA80-Z80)/ABS(Z80)))</f>
        <v/>
      </c>
      <c r="AD80" s="40">
        <f>$B$39</f>
        <v/>
      </c>
      <c r="AE80" s="41" t="n"/>
      <c r="AF80" s="42">
        <f>IF(AE80="","",AE80-AD80)</f>
        <v/>
      </c>
      <c r="AG80" s="43">
        <f>IF(AE80="","",IF(AD80=0,0,(AE80-AD80)/ABS(AD80)))</f>
        <v/>
      </c>
      <c r="AH80" s="40">
        <f>$B$39</f>
        <v/>
      </c>
      <c r="AI80" s="41" t="n"/>
      <c r="AJ80" s="42">
        <f>IF(AI80="","",AI80-AH80)</f>
        <v/>
      </c>
      <c r="AK80" s="43">
        <f>IF(AI80="","",IF(AH80=0,0,(AI80-AH80)/ABS(AH80)))</f>
        <v/>
      </c>
      <c r="AL80" s="40">
        <f>$B$39</f>
        <v/>
      </c>
      <c r="AM80" s="41" t="n"/>
      <c r="AN80" s="42">
        <f>IF(AM80="","",AM80-AL80)</f>
        <v/>
      </c>
      <c r="AO80" s="43">
        <f>IF(AM80="","",IF(AL80=0,0,(AM80-AL80)/ABS(AL80)))</f>
        <v/>
      </c>
      <c r="AP80" s="40">
        <f>$B$39</f>
        <v/>
      </c>
      <c r="AQ80" s="41" t="n"/>
      <c r="AR80" s="42">
        <f>IF(AQ80="","",AQ80-AP80)</f>
        <v/>
      </c>
      <c r="AS80" s="43">
        <f>IF(AQ80="","",IF(AP80=0,0,(AQ80-AP80)/ABS(AP80)))</f>
        <v/>
      </c>
      <c r="AT80" s="40">
        <f>$B$39</f>
        <v/>
      </c>
      <c r="AU80" s="41" t="n"/>
      <c r="AV80" s="42">
        <f>IF(AU80="","",AU80-AT80)</f>
        <v/>
      </c>
      <c r="AW80" s="43">
        <f>IF(AU80="","",IF(AT80=0,0,(AU80-AT80)/ABS(AT80)))</f>
        <v/>
      </c>
      <c r="AX80" s="40">
        <f>B80+F80+J80+N80+R80+V80+Z80+AD80+AH80+AL80+AP80+AT80</f>
        <v/>
      </c>
      <c r="AY80" s="41">
        <f>SUM(C80,G80,K80,O80,S80,W80,AA80,AE80,AI80,AM80,AQ80,AU80)</f>
        <v/>
      </c>
    </row>
    <row r="81">
      <c r="A81" s="39" t="inlineStr">
        <is>
          <t xml:space="preserve">  Training &amp; Certifications</t>
        </is>
      </c>
      <c r="B81" s="40">
        <f>$B$40</f>
        <v/>
      </c>
      <c r="C81" s="41" t="n"/>
      <c r="D81" s="42">
        <f>IF(C81="","",C81-B81)</f>
        <v/>
      </c>
      <c r="E81" s="43">
        <f>IF(C81="","",IF(B81=0,0,(C81-B81)/ABS(B81)))</f>
        <v/>
      </c>
      <c r="F81" s="40">
        <f>$B$40</f>
        <v/>
      </c>
      <c r="G81" s="41" t="n"/>
      <c r="H81" s="42">
        <f>IF(G81="","",G81-F81)</f>
        <v/>
      </c>
      <c r="I81" s="43">
        <f>IF(G81="","",IF(F81=0,0,(G81-F81)/ABS(F81)))</f>
        <v/>
      </c>
      <c r="J81" s="40">
        <f>$B$40</f>
        <v/>
      </c>
      <c r="K81" s="41" t="n"/>
      <c r="L81" s="42">
        <f>IF(K81="","",K81-J81)</f>
        <v/>
      </c>
      <c r="M81" s="43">
        <f>IF(K81="","",IF(J81=0,0,(K81-J81)/ABS(J81)))</f>
        <v/>
      </c>
      <c r="N81" s="40">
        <f>$B$40</f>
        <v/>
      </c>
      <c r="O81" s="41" t="n"/>
      <c r="P81" s="42">
        <f>IF(O81="","",O81-N81)</f>
        <v/>
      </c>
      <c r="Q81" s="43">
        <f>IF(O81="","",IF(N81=0,0,(O81-N81)/ABS(N81)))</f>
        <v/>
      </c>
      <c r="R81" s="40">
        <f>$B$40</f>
        <v/>
      </c>
      <c r="S81" s="41" t="n"/>
      <c r="T81" s="42">
        <f>IF(S81="","",S81-R81)</f>
        <v/>
      </c>
      <c r="U81" s="43">
        <f>IF(S81="","",IF(R81=0,0,(S81-R81)/ABS(R81)))</f>
        <v/>
      </c>
      <c r="V81" s="40">
        <f>$B$40</f>
        <v/>
      </c>
      <c r="W81" s="41" t="n"/>
      <c r="X81" s="42">
        <f>IF(W81="","",W81-V81)</f>
        <v/>
      </c>
      <c r="Y81" s="43">
        <f>IF(W81="","",IF(V81=0,0,(W81-V81)/ABS(V81)))</f>
        <v/>
      </c>
      <c r="Z81" s="40">
        <f>$B$40</f>
        <v/>
      </c>
      <c r="AA81" s="41" t="n"/>
      <c r="AB81" s="42">
        <f>IF(AA81="","",AA81-Z81)</f>
        <v/>
      </c>
      <c r="AC81" s="43">
        <f>IF(AA81="","",IF(Z81=0,0,(AA81-Z81)/ABS(Z81)))</f>
        <v/>
      </c>
      <c r="AD81" s="40">
        <f>$B$40</f>
        <v/>
      </c>
      <c r="AE81" s="41" t="n"/>
      <c r="AF81" s="42">
        <f>IF(AE81="","",AE81-AD81)</f>
        <v/>
      </c>
      <c r="AG81" s="43">
        <f>IF(AE81="","",IF(AD81=0,0,(AE81-AD81)/ABS(AD81)))</f>
        <v/>
      </c>
      <c r="AH81" s="40">
        <f>$B$40</f>
        <v/>
      </c>
      <c r="AI81" s="41" t="n"/>
      <c r="AJ81" s="42">
        <f>IF(AI81="","",AI81-AH81)</f>
        <v/>
      </c>
      <c r="AK81" s="43">
        <f>IF(AI81="","",IF(AH81=0,0,(AI81-AH81)/ABS(AH81)))</f>
        <v/>
      </c>
      <c r="AL81" s="40">
        <f>$B$40</f>
        <v/>
      </c>
      <c r="AM81" s="41" t="n"/>
      <c r="AN81" s="42">
        <f>IF(AM81="","",AM81-AL81)</f>
        <v/>
      </c>
      <c r="AO81" s="43">
        <f>IF(AM81="","",IF(AL81=0,0,(AM81-AL81)/ABS(AL81)))</f>
        <v/>
      </c>
      <c r="AP81" s="40">
        <f>$B$40</f>
        <v/>
      </c>
      <c r="AQ81" s="41" t="n"/>
      <c r="AR81" s="42">
        <f>IF(AQ81="","",AQ81-AP81)</f>
        <v/>
      </c>
      <c r="AS81" s="43">
        <f>IF(AQ81="","",IF(AP81=0,0,(AQ81-AP81)/ABS(AP81)))</f>
        <v/>
      </c>
      <c r="AT81" s="40">
        <f>$B$40</f>
        <v/>
      </c>
      <c r="AU81" s="41" t="n"/>
      <c r="AV81" s="42">
        <f>IF(AU81="","",AU81-AT81)</f>
        <v/>
      </c>
      <c r="AW81" s="43">
        <f>IF(AU81="","",IF(AT81=0,0,(AU81-AT81)/ABS(AT81)))</f>
        <v/>
      </c>
      <c r="AX81" s="40">
        <f>B81+F81+J81+N81+R81+V81+Z81+AD81+AH81+AL81+AP81+AT81</f>
        <v/>
      </c>
      <c r="AY81" s="41">
        <f>SUM(C81,G81,K81,O81,S81,W81,AA81,AE81,AI81,AM81,AQ81,AU81)</f>
        <v/>
      </c>
    </row>
    <row r="82">
      <c r="A82" s="26" t="inlineStr">
        <is>
          <t>TOTAL OVERHEAD</t>
        </is>
      </c>
      <c r="B82" s="44">
        <f>B70+B71+B72+B73+B74+B75+B76+B77+B78+B79+B80+B81</f>
        <v/>
      </c>
      <c r="C82" s="41" t="n"/>
      <c r="D82" s="45">
        <f>IF(C82="","",C82-B82)</f>
        <v/>
      </c>
      <c r="E82" s="46">
        <f>IF(C82="","",IF(B82=0,0,(C82-B82)/ABS(B82)))</f>
        <v/>
      </c>
      <c r="F82" s="44">
        <f>F70+F71+F72+F73+F74+F75+F76+F77+F78+F79+F80+F81</f>
        <v/>
      </c>
      <c r="G82" s="41" t="n"/>
      <c r="H82" s="45">
        <f>IF(G82="","",G82-F82)</f>
        <v/>
      </c>
      <c r="I82" s="46">
        <f>IF(G82="","",IF(F82=0,0,(G82-F82)/ABS(F82)))</f>
        <v/>
      </c>
      <c r="J82" s="44">
        <f>J70+J71+J72+J73+J74+J75+J76+J77+J78+J79+J80+J81</f>
        <v/>
      </c>
      <c r="K82" s="41" t="n"/>
      <c r="L82" s="45">
        <f>IF(K82="","",K82-J82)</f>
        <v/>
      </c>
      <c r="M82" s="46">
        <f>IF(K82="","",IF(J82=0,0,(K82-J82)/ABS(J82)))</f>
        <v/>
      </c>
      <c r="N82" s="44">
        <f>N70+N71+N72+N73+N74+N75+N76+N77+N78+N79+N80+N81</f>
        <v/>
      </c>
      <c r="O82" s="41" t="n"/>
      <c r="P82" s="45">
        <f>IF(O82="","",O82-N82)</f>
        <v/>
      </c>
      <c r="Q82" s="46">
        <f>IF(O82="","",IF(N82=0,0,(O82-N82)/ABS(N82)))</f>
        <v/>
      </c>
      <c r="R82" s="44">
        <f>R70+R71+R72+R73+R74+R75+R76+R77+R78+R79+R80+R81</f>
        <v/>
      </c>
      <c r="S82" s="41" t="n"/>
      <c r="T82" s="45">
        <f>IF(S82="","",S82-R82)</f>
        <v/>
      </c>
      <c r="U82" s="46">
        <f>IF(S82="","",IF(R82=0,0,(S82-R82)/ABS(R82)))</f>
        <v/>
      </c>
      <c r="V82" s="44">
        <f>V70+V71+V72+V73+V74+V75+V76+V77+V78+V79+V80+V81</f>
        <v/>
      </c>
      <c r="W82" s="41" t="n"/>
      <c r="X82" s="45">
        <f>IF(W82="","",W82-V82)</f>
        <v/>
      </c>
      <c r="Y82" s="46">
        <f>IF(W82="","",IF(V82=0,0,(W82-V82)/ABS(V82)))</f>
        <v/>
      </c>
      <c r="Z82" s="44">
        <f>Z70+Z71+Z72+Z73+Z74+Z75+Z76+Z77+Z78+Z79+Z80+Z81</f>
        <v/>
      </c>
      <c r="AA82" s="41" t="n"/>
      <c r="AB82" s="45">
        <f>IF(AA82="","",AA82-Z82)</f>
        <v/>
      </c>
      <c r="AC82" s="46">
        <f>IF(AA82="","",IF(Z82=0,0,(AA82-Z82)/ABS(Z82)))</f>
        <v/>
      </c>
      <c r="AD82" s="44">
        <f>AD70+AD71+AD72+AD73+AD74+AD75+AD76+AD77+AD78+AD79+AD80+AD81</f>
        <v/>
      </c>
      <c r="AE82" s="41" t="n"/>
      <c r="AF82" s="45">
        <f>IF(AE82="","",AE82-AD82)</f>
        <v/>
      </c>
      <c r="AG82" s="46">
        <f>IF(AE82="","",IF(AD82=0,0,(AE82-AD82)/ABS(AD82)))</f>
        <v/>
      </c>
      <c r="AH82" s="44">
        <f>AH70+AH71+AH72+AH73+AH74+AH75+AH76+AH77+AH78+AH79+AH80+AH81</f>
        <v/>
      </c>
      <c r="AI82" s="41" t="n"/>
      <c r="AJ82" s="45">
        <f>IF(AI82="","",AI82-AH82)</f>
        <v/>
      </c>
      <c r="AK82" s="46">
        <f>IF(AI82="","",IF(AH82=0,0,(AI82-AH82)/ABS(AH82)))</f>
        <v/>
      </c>
      <c r="AL82" s="44">
        <f>AL70+AL71+AL72+AL73+AL74+AL75+AL76+AL77+AL78+AL79+AL80+AL81</f>
        <v/>
      </c>
      <c r="AM82" s="41" t="n"/>
      <c r="AN82" s="45">
        <f>IF(AM82="","",AM82-AL82)</f>
        <v/>
      </c>
      <c r="AO82" s="46">
        <f>IF(AM82="","",IF(AL82=0,0,(AM82-AL82)/ABS(AL82)))</f>
        <v/>
      </c>
      <c r="AP82" s="44">
        <f>AP70+AP71+AP72+AP73+AP74+AP75+AP76+AP77+AP78+AP79+AP80+AP81</f>
        <v/>
      </c>
      <c r="AQ82" s="41" t="n"/>
      <c r="AR82" s="45">
        <f>IF(AQ82="","",AQ82-AP82)</f>
        <v/>
      </c>
      <c r="AS82" s="46">
        <f>IF(AQ82="","",IF(AP82=0,0,(AQ82-AP82)/ABS(AP82)))</f>
        <v/>
      </c>
      <c r="AT82" s="44">
        <f>AT70+AT71+AT72+AT73+AT74+AT75+AT76+AT77+AT78+AT79+AT80+AT81</f>
        <v/>
      </c>
      <c r="AU82" s="41" t="n"/>
      <c r="AV82" s="45">
        <f>IF(AU82="","",AU82-AT82)</f>
        <v/>
      </c>
      <c r="AW82" s="46">
        <f>IF(AU82="","",IF(AT82=0,0,(AU82-AT82)/ABS(AT82)))</f>
        <v/>
      </c>
      <c r="AX82" s="44">
        <f>B82+F82+J82+N82+R82+V82+Z82+AD82+AH82+AL82+AP82+AT82</f>
        <v/>
      </c>
      <c r="AY82" s="41">
        <f>SUM(C82,G82,K82,O82,S82,W82,AA82,AE82,AI82,AM82,AQ82,AU82)</f>
        <v/>
      </c>
    </row>
    <row r="83">
      <c r="A83" s="39" t="inlineStr">
        <is>
          <t xml:space="preserve">  Overhead as % of Revenue</t>
        </is>
      </c>
      <c r="B83" s="47">
        <f>IF(B57=0,0,B82/B57)</f>
        <v/>
      </c>
      <c r="C83" s="48" t="n"/>
      <c r="D83" s="43">
        <f>IF(C83="","",C83-B83)</f>
        <v/>
      </c>
      <c r="E83" s="43">
        <f>IF(C83="","",IF(B83=0,0,(C83-B83)/ABS(B83)))</f>
        <v/>
      </c>
      <c r="F83" s="47">
        <f>IF(F57=0,0,F82/F57)</f>
        <v/>
      </c>
      <c r="G83" s="48" t="n"/>
      <c r="H83" s="43">
        <f>IF(G83="","",G83-F83)</f>
        <v/>
      </c>
      <c r="I83" s="43">
        <f>IF(G83="","",IF(F83=0,0,(G83-F83)/ABS(F83)))</f>
        <v/>
      </c>
      <c r="J83" s="47">
        <f>IF(J57=0,0,J82/J57)</f>
        <v/>
      </c>
      <c r="K83" s="48" t="n"/>
      <c r="L83" s="43">
        <f>IF(K83="","",K83-J83)</f>
        <v/>
      </c>
      <c r="M83" s="43">
        <f>IF(K83="","",IF(J83=0,0,(K83-J83)/ABS(J83)))</f>
        <v/>
      </c>
      <c r="N83" s="47">
        <f>IF(N57=0,0,N82/N57)</f>
        <v/>
      </c>
      <c r="O83" s="48" t="n"/>
      <c r="P83" s="43">
        <f>IF(O83="","",O83-N83)</f>
        <v/>
      </c>
      <c r="Q83" s="43">
        <f>IF(O83="","",IF(N83=0,0,(O83-N83)/ABS(N83)))</f>
        <v/>
      </c>
      <c r="R83" s="47">
        <f>IF(R57=0,0,R82/R57)</f>
        <v/>
      </c>
      <c r="S83" s="48" t="n"/>
      <c r="T83" s="43">
        <f>IF(S83="","",S83-R83)</f>
        <v/>
      </c>
      <c r="U83" s="43">
        <f>IF(S83="","",IF(R83=0,0,(S83-R83)/ABS(R83)))</f>
        <v/>
      </c>
      <c r="V83" s="47">
        <f>IF(V57=0,0,V82/V57)</f>
        <v/>
      </c>
      <c r="W83" s="48" t="n"/>
      <c r="X83" s="43">
        <f>IF(W83="","",W83-V83)</f>
        <v/>
      </c>
      <c r="Y83" s="43">
        <f>IF(W83="","",IF(V83=0,0,(W83-V83)/ABS(V83)))</f>
        <v/>
      </c>
      <c r="Z83" s="47">
        <f>IF(Z57=0,0,Z82/Z57)</f>
        <v/>
      </c>
      <c r="AA83" s="48" t="n"/>
      <c r="AB83" s="43">
        <f>IF(AA83="","",AA83-Z83)</f>
        <v/>
      </c>
      <c r="AC83" s="43">
        <f>IF(AA83="","",IF(Z83=0,0,(AA83-Z83)/ABS(Z83)))</f>
        <v/>
      </c>
      <c r="AD83" s="47">
        <f>IF(AD57=0,0,AD82/AD57)</f>
        <v/>
      </c>
      <c r="AE83" s="48" t="n"/>
      <c r="AF83" s="43">
        <f>IF(AE83="","",AE83-AD83)</f>
        <v/>
      </c>
      <c r="AG83" s="43">
        <f>IF(AE83="","",IF(AD83=0,0,(AE83-AD83)/ABS(AD83)))</f>
        <v/>
      </c>
      <c r="AH83" s="47">
        <f>IF(AH57=0,0,AH82/AH57)</f>
        <v/>
      </c>
      <c r="AI83" s="48" t="n"/>
      <c r="AJ83" s="43">
        <f>IF(AI83="","",AI83-AH83)</f>
        <v/>
      </c>
      <c r="AK83" s="43">
        <f>IF(AI83="","",IF(AH83=0,0,(AI83-AH83)/ABS(AH83)))</f>
        <v/>
      </c>
      <c r="AL83" s="47">
        <f>IF(AL57=0,0,AL82/AL57)</f>
        <v/>
      </c>
      <c r="AM83" s="48" t="n"/>
      <c r="AN83" s="43">
        <f>IF(AM83="","",AM83-AL83)</f>
        <v/>
      </c>
      <c r="AO83" s="43">
        <f>IF(AM83="","",IF(AL83=0,0,(AM83-AL83)/ABS(AL83)))</f>
        <v/>
      </c>
      <c r="AP83" s="47">
        <f>IF(AP57=0,0,AP82/AP57)</f>
        <v/>
      </c>
      <c r="AQ83" s="48" t="n"/>
      <c r="AR83" s="43">
        <f>IF(AQ83="","",AQ83-AP83)</f>
        <v/>
      </c>
      <c r="AS83" s="43">
        <f>IF(AQ83="","",IF(AP83=0,0,(AQ83-AP83)/ABS(AP83)))</f>
        <v/>
      </c>
      <c r="AT83" s="47">
        <f>IF(AT57=0,0,AT82/AT57)</f>
        <v/>
      </c>
      <c r="AU83" s="48" t="n"/>
      <c r="AV83" s="43">
        <f>IF(AU83="","",AU83-AT83)</f>
        <v/>
      </c>
      <c r="AW83" s="43">
        <f>IF(AU83="","",IF(AT83=0,0,(AU83-AT83)/ABS(AT83)))</f>
        <v/>
      </c>
      <c r="AX83" s="47">
        <f>B83+F83+J83+N83+R83+V83+Z83+AD83+AH83+AL83+AP83+AT83</f>
        <v/>
      </c>
      <c r="AY83" s="48">
        <f>SUM(C83,G83,K83,O83,S83,W83,AA83,AE83,AI83,AM83,AQ83,AU83)</f>
        <v/>
      </c>
    </row>
    <row r="84"/>
    <row r="85">
      <c r="A85" s="26" t="inlineStr">
        <is>
          <t>PROFIT BEFORE TAXES (EBITDA)</t>
        </is>
      </c>
      <c r="B85" s="44">
        <f>B66-B82</f>
        <v/>
      </c>
      <c r="C85" s="41" t="n"/>
      <c r="D85" s="45">
        <f>IF(C85="","",C85-B85)</f>
        <v/>
      </c>
      <c r="E85" s="46">
        <f>IF(C85="","",IF(B85=0,0,(C85-B85)/ABS(B85)))</f>
        <v/>
      </c>
      <c r="F85" s="44">
        <f>F66-F82</f>
        <v/>
      </c>
      <c r="G85" s="41" t="n"/>
      <c r="H85" s="45">
        <f>IF(G85="","",G85-F85)</f>
        <v/>
      </c>
      <c r="I85" s="46">
        <f>IF(G85="","",IF(F85=0,0,(G85-F85)/ABS(F85)))</f>
        <v/>
      </c>
      <c r="J85" s="44">
        <f>J66-J82</f>
        <v/>
      </c>
      <c r="K85" s="41" t="n"/>
      <c r="L85" s="45">
        <f>IF(K85="","",K85-J85)</f>
        <v/>
      </c>
      <c r="M85" s="46">
        <f>IF(K85="","",IF(J85=0,0,(K85-J85)/ABS(J85)))</f>
        <v/>
      </c>
      <c r="N85" s="44">
        <f>N66-N82</f>
        <v/>
      </c>
      <c r="O85" s="41" t="n"/>
      <c r="P85" s="45">
        <f>IF(O85="","",O85-N85)</f>
        <v/>
      </c>
      <c r="Q85" s="46">
        <f>IF(O85="","",IF(N85=0,0,(O85-N85)/ABS(N85)))</f>
        <v/>
      </c>
      <c r="R85" s="44">
        <f>R66-R82</f>
        <v/>
      </c>
      <c r="S85" s="41" t="n"/>
      <c r="T85" s="45">
        <f>IF(S85="","",S85-R85)</f>
        <v/>
      </c>
      <c r="U85" s="46">
        <f>IF(S85="","",IF(R85=0,0,(S85-R85)/ABS(R85)))</f>
        <v/>
      </c>
      <c r="V85" s="44">
        <f>V66-V82</f>
        <v/>
      </c>
      <c r="W85" s="41" t="n"/>
      <c r="X85" s="45">
        <f>IF(W85="","",W85-V85)</f>
        <v/>
      </c>
      <c r="Y85" s="46">
        <f>IF(W85="","",IF(V85=0,0,(W85-V85)/ABS(V85)))</f>
        <v/>
      </c>
      <c r="Z85" s="44">
        <f>Z66-Z82</f>
        <v/>
      </c>
      <c r="AA85" s="41" t="n"/>
      <c r="AB85" s="45">
        <f>IF(AA85="","",AA85-Z85)</f>
        <v/>
      </c>
      <c r="AC85" s="46">
        <f>IF(AA85="","",IF(Z85=0,0,(AA85-Z85)/ABS(Z85)))</f>
        <v/>
      </c>
      <c r="AD85" s="44">
        <f>AD66-AD82</f>
        <v/>
      </c>
      <c r="AE85" s="41" t="n"/>
      <c r="AF85" s="45">
        <f>IF(AE85="","",AE85-AD85)</f>
        <v/>
      </c>
      <c r="AG85" s="46">
        <f>IF(AE85="","",IF(AD85=0,0,(AE85-AD85)/ABS(AD85)))</f>
        <v/>
      </c>
      <c r="AH85" s="44">
        <f>AH66-AH82</f>
        <v/>
      </c>
      <c r="AI85" s="41" t="n"/>
      <c r="AJ85" s="45">
        <f>IF(AI85="","",AI85-AH85)</f>
        <v/>
      </c>
      <c r="AK85" s="46">
        <f>IF(AI85="","",IF(AH85=0,0,(AI85-AH85)/ABS(AH85)))</f>
        <v/>
      </c>
      <c r="AL85" s="44">
        <f>AL66-AL82</f>
        <v/>
      </c>
      <c r="AM85" s="41" t="n"/>
      <c r="AN85" s="45">
        <f>IF(AM85="","",AM85-AL85)</f>
        <v/>
      </c>
      <c r="AO85" s="46">
        <f>IF(AM85="","",IF(AL85=0,0,(AM85-AL85)/ABS(AL85)))</f>
        <v/>
      </c>
      <c r="AP85" s="44">
        <f>AP66-AP82</f>
        <v/>
      </c>
      <c r="AQ85" s="41" t="n"/>
      <c r="AR85" s="45">
        <f>IF(AQ85="","",AQ85-AP85)</f>
        <v/>
      </c>
      <c r="AS85" s="46">
        <f>IF(AQ85="","",IF(AP85=0,0,(AQ85-AP85)/ABS(AP85)))</f>
        <v/>
      </c>
      <c r="AT85" s="44">
        <f>AT66-AT82</f>
        <v/>
      </c>
      <c r="AU85" s="41" t="n"/>
      <c r="AV85" s="45">
        <f>IF(AU85="","",AU85-AT85)</f>
        <v/>
      </c>
      <c r="AW85" s="46">
        <f>IF(AU85="","",IF(AT85=0,0,(AU85-AT85)/ABS(AT85)))</f>
        <v/>
      </c>
      <c r="AX85" s="44">
        <f>B85+F85+J85+N85+R85+V85+Z85+AD85+AH85+AL85+AP85+AT85</f>
        <v/>
      </c>
      <c r="AY85" s="41">
        <f>SUM(C85,G85,K85,O85,S85,W85,AA85,AE85,AI85,AM85,AQ85,AU85)</f>
        <v/>
      </c>
    </row>
    <row r="86">
      <c r="A86" s="39" t="inlineStr">
        <is>
          <t xml:space="preserve">  Profit Before Taxes % (EBITDA Margin)</t>
        </is>
      </c>
      <c r="B86" s="47">
        <f>IF(B57=0,0,B85/B57)</f>
        <v/>
      </c>
      <c r="C86" s="48" t="n"/>
      <c r="D86" s="43">
        <f>IF(C86="","",C86-B86)</f>
        <v/>
      </c>
      <c r="E86" s="43">
        <f>IF(C86="","",IF(B86=0,0,(C86-B86)/ABS(B86)))</f>
        <v/>
      </c>
      <c r="F86" s="47">
        <f>IF(F57=0,0,F85/F57)</f>
        <v/>
      </c>
      <c r="G86" s="48" t="n"/>
      <c r="H86" s="43">
        <f>IF(G86="","",G86-F86)</f>
        <v/>
      </c>
      <c r="I86" s="43">
        <f>IF(G86="","",IF(F86=0,0,(G86-F86)/ABS(F86)))</f>
        <v/>
      </c>
      <c r="J86" s="47">
        <f>IF(J57=0,0,J85/J57)</f>
        <v/>
      </c>
      <c r="K86" s="48" t="n"/>
      <c r="L86" s="43">
        <f>IF(K86="","",K86-J86)</f>
        <v/>
      </c>
      <c r="M86" s="43">
        <f>IF(K86="","",IF(J86=0,0,(K86-J86)/ABS(J86)))</f>
        <v/>
      </c>
      <c r="N86" s="47">
        <f>IF(N57=0,0,N85/N57)</f>
        <v/>
      </c>
      <c r="O86" s="48" t="n"/>
      <c r="P86" s="43">
        <f>IF(O86="","",O86-N86)</f>
        <v/>
      </c>
      <c r="Q86" s="43">
        <f>IF(O86="","",IF(N86=0,0,(O86-N86)/ABS(N86)))</f>
        <v/>
      </c>
      <c r="R86" s="47">
        <f>IF(R57=0,0,R85/R57)</f>
        <v/>
      </c>
      <c r="S86" s="48" t="n"/>
      <c r="T86" s="43">
        <f>IF(S86="","",S86-R86)</f>
        <v/>
      </c>
      <c r="U86" s="43">
        <f>IF(S86="","",IF(R86=0,0,(S86-R86)/ABS(R86)))</f>
        <v/>
      </c>
      <c r="V86" s="47">
        <f>IF(V57=0,0,V85/V57)</f>
        <v/>
      </c>
      <c r="W86" s="48" t="n"/>
      <c r="X86" s="43">
        <f>IF(W86="","",W86-V86)</f>
        <v/>
      </c>
      <c r="Y86" s="43">
        <f>IF(W86="","",IF(V86=0,0,(W86-V86)/ABS(V86)))</f>
        <v/>
      </c>
      <c r="Z86" s="47">
        <f>IF(Z57=0,0,Z85/Z57)</f>
        <v/>
      </c>
      <c r="AA86" s="48" t="n"/>
      <c r="AB86" s="43">
        <f>IF(AA86="","",AA86-Z86)</f>
        <v/>
      </c>
      <c r="AC86" s="43">
        <f>IF(AA86="","",IF(Z86=0,0,(AA86-Z86)/ABS(Z86)))</f>
        <v/>
      </c>
      <c r="AD86" s="47">
        <f>IF(AD57=0,0,AD85/AD57)</f>
        <v/>
      </c>
      <c r="AE86" s="48" t="n"/>
      <c r="AF86" s="43">
        <f>IF(AE86="","",AE86-AD86)</f>
        <v/>
      </c>
      <c r="AG86" s="43">
        <f>IF(AE86="","",IF(AD86=0,0,(AE86-AD86)/ABS(AD86)))</f>
        <v/>
      </c>
      <c r="AH86" s="47">
        <f>IF(AH57=0,0,AH85/AH57)</f>
        <v/>
      </c>
      <c r="AI86" s="48" t="n"/>
      <c r="AJ86" s="43">
        <f>IF(AI86="","",AI86-AH86)</f>
        <v/>
      </c>
      <c r="AK86" s="43">
        <f>IF(AI86="","",IF(AH86=0,0,(AI86-AH86)/ABS(AH86)))</f>
        <v/>
      </c>
      <c r="AL86" s="47">
        <f>IF(AL57=0,0,AL85/AL57)</f>
        <v/>
      </c>
      <c r="AM86" s="48" t="n"/>
      <c r="AN86" s="43">
        <f>IF(AM86="","",AM86-AL86)</f>
        <v/>
      </c>
      <c r="AO86" s="43">
        <f>IF(AM86="","",IF(AL86=0,0,(AM86-AL86)/ABS(AL86)))</f>
        <v/>
      </c>
      <c r="AP86" s="47">
        <f>IF(AP57=0,0,AP85/AP57)</f>
        <v/>
      </c>
      <c r="AQ86" s="48" t="n"/>
      <c r="AR86" s="43">
        <f>IF(AQ86="","",AQ86-AP86)</f>
        <v/>
      </c>
      <c r="AS86" s="43">
        <f>IF(AQ86="","",IF(AP86=0,0,(AQ86-AP86)/ABS(AP86)))</f>
        <v/>
      </c>
      <c r="AT86" s="47">
        <f>IF(AT57=0,0,AT85/AT57)</f>
        <v/>
      </c>
      <c r="AU86" s="48" t="n"/>
      <c r="AV86" s="43">
        <f>IF(AU86="","",AU86-AT86)</f>
        <v/>
      </c>
      <c r="AW86" s="43">
        <f>IF(AU86="","",IF(AT86=0,0,(AU86-AT86)/ABS(AT86)))</f>
        <v/>
      </c>
      <c r="AX86" s="47">
        <f>B86+F86+J86+N86+R86+V86+Z86+AD86+AH86+AL86+AP86+AT86</f>
        <v/>
      </c>
      <c r="AY86" s="48">
        <f>SUM(C86,G86,K86,O86,S86,W86,AA86,AE86,AI86,AM86,AQ86,AU86)</f>
        <v/>
      </c>
    </row>
    <row r="87">
      <c r="A87" s="39" t="inlineStr">
        <is>
          <t xml:space="preserve">  Labor as % of Revenue</t>
        </is>
      </c>
      <c r="B87" s="47">
        <f>IF(B57=0,0,B60/B57)</f>
        <v/>
      </c>
      <c r="C87" s="48" t="n"/>
      <c r="D87" s="43">
        <f>IF(C87="","",C87-B87)</f>
        <v/>
      </c>
      <c r="E87" s="43">
        <f>IF(C87="","",IF(B87=0,0,(C87-B87)/ABS(B87)))</f>
        <v/>
      </c>
      <c r="F87" s="47">
        <f>IF(F57=0,0,F60/F57)</f>
        <v/>
      </c>
      <c r="G87" s="48" t="n"/>
      <c r="H87" s="43">
        <f>IF(G87="","",G87-F87)</f>
        <v/>
      </c>
      <c r="I87" s="43">
        <f>IF(G87="","",IF(F87=0,0,(G87-F87)/ABS(F87)))</f>
        <v/>
      </c>
      <c r="J87" s="47">
        <f>IF(J57=0,0,J60/J57)</f>
        <v/>
      </c>
      <c r="K87" s="48" t="n"/>
      <c r="L87" s="43">
        <f>IF(K87="","",K87-J87)</f>
        <v/>
      </c>
      <c r="M87" s="43">
        <f>IF(K87="","",IF(J87=0,0,(K87-J87)/ABS(J87)))</f>
        <v/>
      </c>
      <c r="N87" s="47">
        <f>IF(N57=0,0,N60/N57)</f>
        <v/>
      </c>
      <c r="O87" s="48" t="n"/>
      <c r="P87" s="43">
        <f>IF(O87="","",O87-N87)</f>
        <v/>
      </c>
      <c r="Q87" s="43">
        <f>IF(O87="","",IF(N87=0,0,(O87-N87)/ABS(N87)))</f>
        <v/>
      </c>
      <c r="R87" s="47">
        <f>IF(R57=0,0,R60/R57)</f>
        <v/>
      </c>
      <c r="S87" s="48" t="n"/>
      <c r="T87" s="43">
        <f>IF(S87="","",S87-R87)</f>
        <v/>
      </c>
      <c r="U87" s="43">
        <f>IF(S87="","",IF(R87=0,0,(S87-R87)/ABS(R87)))</f>
        <v/>
      </c>
      <c r="V87" s="47">
        <f>IF(V57=0,0,V60/V57)</f>
        <v/>
      </c>
      <c r="W87" s="48" t="n"/>
      <c r="X87" s="43">
        <f>IF(W87="","",W87-V87)</f>
        <v/>
      </c>
      <c r="Y87" s="43">
        <f>IF(W87="","",IF(V87=0,0,(W87-V87)/ABS(V87)))</f>
        <v/>
      </c>
      <c r="Z87" s="47">
        <f>IF(Z57=0,0,Z60/Z57)</f>
        <v/>
      </c>
      <c r="AA87" s="48" t="n"/>
      <c r="AB87" s="43">
        <f>IF(AA87="","",AA87-Z87)</f>
        <v/>
      </c>
      <c r="AC87" s="43">
        <f>IF(AA87="","",IF(Z87=0,0,(AA87-Z87)/ABS(Z87)))</f>
        <v/>
      </c>
      <c r="AD87" s="47">
        <f>IF(AD57=0,0,AD60/AD57)</f>
        <v/>
      </c>
      <c r="AE87" s="48" t="n"/>
      <c r="AF87" s="43">
        <f>IF(AE87="","",AE87-AD87)</f>
        <v/>
      </c>
      <c r="AG87" s="43">
        <f>IF(AE87="","",IF(AD87=0,0,(AE87-AD87)/ABS(AD87)))</f>
        <v/>
      </c>
      <c r="AH87" s="47">
        <f>IF(AH57=0,0,AH60/AH57)</f>
        <v/>
      </c>
      <c r="AI87" s="48" t="n"/>
      <c r="AJ87" s="43">
        <f>IF(AI87="","",AI87-AH87)</f>
        <v/>
      </c>
      <c r="AK87" s="43">
        <f>IF(AI87="","",IF(AH87=0,0,(AI87-AH87)/ABS(AH87)))</f>
        <v/>
      </c>
      <c r="AL87" s="47">
        <f>IF(AL57=0,0,AL60/AL57)</f>
        <v/>
      </c>
      <c r="AM87" s="48" t="n"/>
      <c r="AN87" s="43">
        <f>IF(AM87="","",AM87-AL87)</f>
        <v/>
      </c>
      <c r="AO87" s="43">
        <f>IF(AM87="","",IF(AL87=0,0,(AM87-AL87)/ABS(AL87)))</f>
        <v/>
      </c>
      <c r="AP87" s="47">
        <f>IF(AP57=0,0,AP60/AP57)</f>
        <v/>
      </c>
      <c r="AQ87" s="48" t="n"/>
      <c r="AR87" s="43">
        <f>IF(AQ87="","",AQ87-AP87)</f>
        <v/>
      </c>
      <c r="AS87" s="43">
        <f>IF(AQ87="","",IF(AP87=0,0,(AQ87-AP87)/ABS(AP87)))</f>
        <v/>
      </c>
      <c r="AT87" s="47">
        <f>IF(AT57=0,0,AT60/AT57)</f>
        <v/>
      </c>
      <c r="AU87" s="48" t="n"/>
      <c r="AV87" s="43">
        <f>IF(AU87="","",AU87-AT87)</f>
        <v/>
      </c>
      <c r="AW87" s="43">
        <f>IF(AU87="","",IF(AT87=0,0,(AU87-AT87)/ABS(AT87)))</f>
        <v/>
      </c>
      <c r="AX87" s="47">
        <f>B87+F87+J87+N87+R87+V87+Z87+AD87+AH87+AL87+AP87+AT87</f>
        <v/>
      </c>
      <c r="AY87" s="48">
        <f>SUM(C87,G87,K87,O87,S87,W87,AA87,AE87,AI87,AM87,AQ87,AU87)</f>
        <v/>
      </c>
    </row>
  </sheetData>
  <sheetProtection selectLockedCells="0" selectUnlockedCells="0" sheet="1" objects="0" insertRows="1" insertHyperlinks="1" autoFilter="0" scenarios="0" formatColumns="0" deleteColumns="1" insertColumns="1" pivotTables="1" deleteRows="1" formatCells="0" formatRows="0" sort="0" password="CE4B"/>
  <mergeCells count="18">
    <mergeCell ref="AD50:AG50"/>
    <mergeCell ref="AH50:AK50"/>
    <mergeCell ref="A1:J1"/>
    <mergeCell ref="F50:I50"/>
    <mergeCell ref="AL50:AO50"/>
    <mergeCell ref="AP50:AS50"/>
    <mergeCell ref="AX50:AY50"/>
    <mergeCell ref="B50:E50"/>
    <mergeCell ref="AT50:AW50"/>
    <mergeCell ref="A4:D4"/>
    <mergeCell ref="J50:M50"/>
    <mergeCell ref="Z50:AC50"/>
    <mergeCell ref="A2:J2"/>
    <mergeCell ref="A10:D10"/>
    <mergeCell ref="V50:Y50"/>
    <mergeCell ref="N50:Q50"/>
    <mergeCell ref="R50:U50"/>
    <mergeCell ref="A43:F43"/>
  </mergeCells>
  <pageMargins left="0.75" right="0.75" top="1" bottom="1" header="0.5" footer="0.5"/>
  <headerFooter>
    <oddHeader/>
    <oddFooter>&amp;R&amp;9 &amp;K808080Generated by Endall | endall.ai</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2026-04-22T19:28:47Z</dcterms:created>
  <dcterms:modified xmlns:dcterms="http://purl.org/dc/terms/" xmlns:xsi="http://www.w3.org/2001/XMLSchema-instance" xsi:type="dcterms:W3CDTF">2026-04-22T19:28:47Z</dcterms:modified>
</cp:coreProperties>
</file>