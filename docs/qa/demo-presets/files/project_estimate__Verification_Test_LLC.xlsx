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stimate Summary" sheetId="2" state="visible" r:id="rId2"/>
    <sheet xmlns:r="http://schemas.openxmlformats.org/officeDocument/2006/relationships" name="Estimate Detail" sheetId="3" state="visible" r:id="rId3"/>
    <sheet xmlns:r="http://schemas.openxmlformats.org/officeDocument/2006/relationships"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0" borderId="1" pivotButton="0" quotePrefix="0" xfId="0"/>
    <xf numFmtId="0" fontId="5" fillId="6" borderId="1" applyAlignment="1" pivotButton="0" quotePrefix="0" xfId="0">
      <alignment horizontal="left" vertical="center"/>
    </xf>
    <xf numFmtId="3" fontId="2" fillId="3" borderId="1" pivotButton="0" quotePrefix="0" xfId="0"/>
    <xf numFmtId="3" fontId="4" fillId="3" borderId="1" pivotButton="0" quotePrefix="0" xfId="0"/>
    <xf numFmtId="0" fontId="7" fillId="0" borderId="1" pivotButton="0" quotePrefix="0" xfId="0"/>
    <xf numFmtId="3" fontId="7" fillId="4" borderId="1" pivotButton="0" quotePrefix="0" xfId="0"/>
    <xf numFmtId="3" fontId="4" fillId="4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3" fontId="6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" t="inlineStr">
        <is>
          <t>Verification Test LLC - Project Estimate</t>
        </is>
      </c>
    </row>
    <row r="2"/>
    <row r="3">
      <c r="A3" s="2" t="inlineStr">
        <is>
          <t>WHAT THIS TOOL DOES</t>
        </is>
      </c>
    </row>
    <row r="4">
      <c r="A4" s="2" t="inlineStr">
        <is>
          <t>This workbook estimates total project cost based on itemized labor, materials,</t>
        </is>
      </c>
    </row>
    <row r="5">
      <c r="A5" s="2" t="inlineStr">
        <is>
          <t>subcontractor, and equipment costs. It calculates your recommended selling price</t>
        </is>
      </c>
    </row>
    <row r="6">
      <c r="A6" s="2" t="inlineStr">
        <is>
          <t>with markup and contingency built in.</t>
        </is>
      </c>
    </row>
    <row r="7">
      <c r="A7" s="2" t="inlineStr"/>
    </row>
    <row r="8">
      <c r="A8" s="2" t="inlineStr">
        <is>
          <t>WHAT TO FILL IN</t>
        </is>
      </c>
    </row>
    <row r="9">
      <c r="A9" s="2" t="inlineStr">
        <is>
          <t>Look for the YELLOW cells in the Estimate Detail tab. You can adjust hours,</t>
        </is>
      </c>
    </row>
    <row r="10">
      <c r="A10" s="2" t="inlineStr">
        <is>
          <t>rates, quantities, and costs for any line item. All totals and the Summary tab</t>
        </is>
      </c>
    </row>
    <row r="11">
      <c r="A11" s="2" t="inlineStr">
        <is>
          <t>update automatically.</t>
        </is>
      </c>
    </row>
    <row r="12">
      <c r="A12" s="2" t="inlineStr"/>
    </row>
    <row r="13">
      <c r="A13" s="2" t="inlineStr">
        <is>
          <t>WHAT IT TELLS YOU</t>
        </is>
      </c>
    </row>
    <row r="14">
      <c r="A14" s="2" t="inlineStr">
        <is>
          <t>The Estimate Summary tab shows your bottom line: total direct cost, markup,</t>
        </is>
      </c>
    </row>
    <row r="15">
      <c r="A15" s="2" t="inlineStr">
        <is>
          <t>contingency, recommended price, and expected profit margin.</t>
        </is>
      </c>
    </row>
    <row r="16"/>
    <row r="17">
      <c r="A17" s="3" t="inlineStr">
        <is>
          <t>COLOR LEGEND</t>
        </is>
      </c>
    </row>
    <row r="18">
      <c r="A18" s="4" t="inlineStr">
        <is>
          <t>YELLOW</t>
        </is>
      </c>
      <c r="B18" s="5" t="inlineStr">
        <is>
          <t>Your input - fill these in</t>
        </is>
      </c>
    </row>
    <row r="19">
      <c r="A19" s="6" t="inlineStr">
        <is>
          <t>GRAY</t>
        </is>
      </c>
      <c r="B19" s="5" t="inlineStr">
        <is>
          <t>Calculated - don't touch</t>
        </is>
      </c>
    </row>
    <row r="20">
      <c r="A20" s="7" t="inlineStr">
        <is>
          <t>GREEN</t>
        </is>
      </c>
      <c r="B20" s="5" t="inlineStr">
        <is>
          <t>Good result - on track</t>
        </is>
      </c>
    </row>
    <row r="21">
      <c r="A21" s="8" t="inlineStr">
        <is>
          <t>RED</t>
        </is>
      </c>
      <c r="B21" s="5" t="inlineStr">
        <is>
          <t>Needs attention - review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1" t="inlineStr">
        <is>
          <t>Verification Test LLC</t>
        </is>
      </c>
    </row>
    <row r="2">
      <c r="A2" s="3" t="inlineStr">
        <is>
          <t>Project Estimate: DC-14 Electrical Rough-In</t>
        </is>
      </c>
    </row>
    <row r="3"/>
    <row r="4">
      <c r="A4" s="9" t="inlineStr">
        <is>
          <t>Customer</t>
        </is>
      </c>
      <c r="B4" s="5" t="inlineStr">
        <is>
          <t>Meridian Construction</t>
        </is>
      </c>
    </row>
    <row r="5">
      <c r="A5" s="9" t="inlineStr">
        <is>
          <t>Project Description</t>
        </is>
      </c>
      <c r="B5" s="5" t="inlineStr">
        <is>
          <t>200,000 SF data-center shell electrical rough-in: main switchgear, step-down transformers, branch panelboards, 600A feeders, conduit + wire rough-in, lighting, devices, testing &amp; commissioning.</t>
        </is>
      </c>
    </row>
    <row r="6">
      <c r="A6" s="9" t="inlineStr">
        <is>
          <t>Timeline</t>
        </is>
      </c>
      <c r="B6" s="5" t="inlineStr">
        <is>
          <t>22 weeks</t>
        </is>
      </c>
    </row>
    <row r="7">
      <c r="A7" s="9" t="inlineStr">
        <is>
          <t>Payment Terms</t>
        </is>
      </c>
      <c r="B7" s="5" t="inlineStr">
        <is>
          <t>Monthly, 10% Holdback (Retention)</t>
        </is>
      </c>
    </row>
    <row r="8"/>
    <row r="9">
      <c r="A9" s="10" t="inlineStr">
        <is>
          <t>THE BOTTOM LINE</t>
        </is>
      </c>
      <c r="B9" s="10" t="n"/>
    </row>
    <row r="10">
      <c r="A10" s="5" t="inlineStr">
        <is>
          <t>Total Labor</t>
        </is>
      </c>
      <c r="B10" s="11">
        <f>'Estimate Detail'!B4</f>
        <v/>
      </c>
    </row>
    <row r="11">
      <c r="A11" s="5" t="inlineStr">
        <is>
          <t>Total Materials</t>
        </is>
      </c>
      <c r="B11" s="11">
        <f>'Estimate Detail'!B15</f>
        <v/>
      </c>
    </row>
    <row r="12">
      <c r="A12" s="5" t="inlineStr">
        <is>
          <t>Total Subcontractors</t>
        </is>
      </c>
      <c r="B12" s="11">
        <f>'Estimate Detail'!B20</f>
        <v/>
      </c>
    </row>
    <row r="13">
      <c r="A13" s="5" t="inlineStr">
        <is>
          <t>Total Equipment</t>
        </is>
      </c>
      <c r="B13" s="11">
        <f>'Estimate Detail'!B25</f>
        <v/>
      </c>
    </row>
    <row r="14">
      <c r="A14" s="9" t="inlineStr">
        <is>
          <t>Total Direct Cost</t>
        </is>
      </c>
      <c r="B14" s="12">
        <f>B10+B11+B12+B13</f>
        <v/>
      </c>
    </row>
    <row r="15">
      <c r="A15" s="5" t="inlineStr">
        <is>
          <t>Markup (12%)</t>
        </is>
      </c>
      <c r="B15" s="11">
        <f>B14*0.12</f>
        <v/>
      </c>
    </row>
    <row r="16">
      <c r="A16" s="5" t="inlineStr">
        <is>
          <t>Contingency (8%)</t>
        </is>
      </c>
      <c r="B16" s="11">
        <f>B14*0.08</f>
        <v/>
      </c>
    </row>
    <row r="17">
      <c r="A17" s="13" t="inlineStr">
        <is>
          <t>Recommended Price</t>
        </is>
      </c>
      <c r="B17" s="14">
        <f>B14+B15+B16</f>
        <v/>
      </c>
    </row>
    <row r="18">
      <c r="A18" s="9" t="inlineStr">
        <is>
          <t>Expected Profit</t>
        </is>
      </c>
      <c r="B18" s="15">
        <f>B17-B14</f>
        <v/>
      </c>
    </row>
    <row r="19">
      <c r="A19" s="9" t="inlineStr">
        <is>
          <t>Profit Margin (%)</t>
        </is>
      </c>
      <c r="B19" s="16">
        <f>IF(B17&gt;0,B18/B17,0)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6" customWidth="1" min="4" max="4"/>
    <col width="18" customWidth="1" min="5" max="5"/>
    <col width="40" customWidth="1" min="6" max="6"/>
  </cols>
  <sheetData>
    <row r="1">
      <c r="A1" s="10" t="inlineStr">
        <is>
          <t>LABOR</t>
        </is>
      </c>
      <c r="B1" s="10" t="n"/>
      <c r="C1" s="10" t="n"/>
      <c r="D1" s="10" t="n"/>
      <c r="E1" s="10" t="n"/>
      <c r="F1" s="10" t="n"/>
    </row>
    <row r="2">
      <c r="A2" s="17" t="inlineStr">
        <is>
          <t>Task</t>
        </is>
      </c>
      <c r="B2" s="17" t="inlineStr">
        <is>
          <t>Hours</t>
        </is>
      </c>
      <c r="C2" s="17" t="inlineStr">
        <is>
          <t>Hourly Rate ($)</t>
        </is>
      </c>
      <c r="D2" s="17" t="inlineStr">
        <is>
          <t>Total ($)</t>
        </is>
      </c>
      <c r="E2" s="17" t="inlineStr">
        <is>
          <t>Description</t>
        </is>
      </c>
    </row>
    <row r="3">
      <c r="A3" s="5" t="inlineStr"/>
      <c r="B3" s="18" t="n">
        <v>840</v>
      </c>
      <c r="C3" s="18" t="n">
        <v>98</v>
      </c>
      <c r="D3" s="11">
        <f>B3*C3</f>
        <v/>
      </c>
      <c r="E3" s="5" t="inlineStr"/>
    </row>
    <row r="4">
      <c r="A4" s="9" t="inlineStr">
        <is>
          <t>Labor Subtotal</t>
        </is>
      </c>
      <c r="B4" s="12">
        <f>SUM(D3:D3)</f>
        <v/>
      </c>
    </row>
    <row r="5"/>
    <row r="6">
      <c r="A6" s="10" t="inlineStr">
        <is>
          <t>MATERIALS</t>
        </is>
      </c>
      <c r="B6" s="10" t="n"/>
      <c r="C6" s="10" t="n"/>
      <c r="D6" s="10" t="n"/>
      <c r="E6" s="10" t="n"/>
      <c r="F6" s="10" t="n"/>
    </row>
    <row r="7">
      <c r="A7" s="17" t="inlineStr">
        <is>
          <t>Item</t>
        </is>
      </c>
      <c r="B7" s="17" t="inlineStr">
        <is>
          <t>Quantity</t>
        </is>
      </c>
      <c r="C7" s="17" t="inlineStr">
        <is>
          <t>Unit</t>
        </is>
      </c>
      <c r="D7" s="17" t="inlineStr">
        <is>
          <t>Unit Cost ($)</t>
        </is>
      </c>
      <c r="E7" s="17" t="inlineStr">
        <is>
          <t>Total ($)</t>
        </is>
      </c>
      <c r="F7" s="17" t="inlineStr">
        <is>
          <t>Description</t>
        </is>
      </c>
    </row>
    <row r="8">
      <c r="A8" s="5" t="inlineStr"/>
      <c r="B8" s="18" t="n">
        <v>0</v>
      </c>
      <c r="C8" s="5" t="inlineStr">
        <is>
          <t>ea</t>
        </is>
      </c>
      <c r="D8" s="18" t="n">
        <v>18400</v>
      </c>
      <c r="E8" s="11">
        <f>B8*D8</f>
        <v/>
      </c>
      <c r="F8" s="5" t="inlineStr"/>
    </row>
    <row r="9">
      <c r="A9" s="5" t="inlineStr"/>
      <c r="B9" s="18" t="n">
        <v>0</v>
      </c>
      <c r="C9" s="5" t="inlineStr">
        <is>
          <t>ea</t>
        </is>
      </c>
      <c r="D9" s="18" t="n">
        <v>4850</v>
      </c>
      <c r="E9" s="11">
        <f>B9*D9</f>
        <v/>
      </c>
      <c r="F9" s="5" t="inlineStr"/>
    </row>
    <row r="10">
      <c r="A10" s="5" t="inlineStr"/>
      <c r="B10" s="18" t="n">
        <v>0</v>
      </c>
      <c r="C10" s="5" t="inlineStr">
        <is>
          <t>ea</t>
        </is>
      </c>
      <c r="D10" s="18" t="n">
        <v>2180</v>
      </c>
      <c r="E10" s="11">
        <f>B10*D10</f>
        <v/>
      </c>
      <c r="F10" s="5" t="inlineStr"/>
    </row>
    <row r="11">
      <c r="A11" s="5" t="inlineStr"/>
      <c r="B11" s="18" t="n">
        <v>0</v>
      </c>
      <c r="C11" s="5" t="inlineStr">
        <is>
          <t>ea</t>
        </is>
      </c>
      <c r="D11" s="18" t="n">
        <v>11200</v>
      </c>
      <c r="E11" s="11">
        <f>B11*D11</f>
        <v/>
      </c>
      <c r="F11" s="5" t="inlineStr"/>
    </row>
    <row r="12">
      <c r="A12" s="5" t="inlineStr"/>
      <c r="B12" s="18" t="n">
        <v>0</v>
      </c>
      <c r="C12" s="5" t="inlineStr">
        <is>
          <t>ea</t>
        </is>
      </c>
      <c r="D12" s="18" t="n">
        <v>38400</v>
      </c>
      <c r="E12" s="11">
        <f>B12*D12</f>
        <v/>
      </c>
      <c r="F12" s="5" t="inlineStr"/>
    </row>
    <row r="13">
      <c r="A13" s="5" t="inlineStr"/>
      <c r="B13" s="18" t="n">
        <v>0</v>
      </c>
      <c r="C13" s="5" t="inlineStr">
        <is>
          <t>ea</t>
        </is>
      </c>
      <c r="D13" s="18" t="n">
        <v>142</v>
      </c>
      <c r="E13" s="11">
        <f>B13*D13</f>
        <v/>
      </c>
      <c r="F13" s="5" t="inlineStr"/>
    </row>
    <row r="14">
      <c r="A14" s="5" t="inlineStr"/>
      <c r="B14" s="18" t="n">
        <v>0</v>
      </c>
      <c r="C14" s="5" t="inlineStr">
        <is>
          <t>ea</t>
        </is>
      </c>
      <c r="D14" s="18" t="n">
        <v>68</v>
      </c>
      <c r="E14" s="11">
        <f>B14*D14</f>
        <v/>
      </c>
      <c r="F14" s="5" t="inlineStr"/>
    </row>
    <row r="15">
      <c r="A15" s="9" t="inlineStr">
        <is>
          <t>Materials Subtotal</t>
        </is>
      </c>
      <c r="B15" s="12">
        <f>SUM(E8:E14)</f>
        <v/>
      </c>
    </row>
    <row r="16"/>
    <row r="17">
      <c r="A17" s="10" t="inlineStr">
        <is>
          <t>SUBCONTRACTORS</t>
        </is>
      </c>
      <c r="B17" s="10" t="n"/>
      <c r="C17" s="10" t="n"/>
      <c r="D17" s="10" t="n"/>
      <c r="E17" s="10" t="n"/>
      <c r="F17" s="10" t="n"/>
    </row>
    <row r="18">
      <c r="A18" s="17" t="inlineStr">
        <is>
          <t>Vendor / Trade</t>
        </is>
      </c>
      <c r="B18" s="17" t="inlineStr">
        <is>
          <t>Scope of Work</t>
        </is>
      </c>
      <c r="C18" s="17" t="inlineStr">
        <is>
          <t>Cost ($)</t>
        </is>
      </c>
    </row>
    <row r="19">
      <c r="A19" s="5" t="inlineStr"/>
      <c r="B19" s="5" t="inlineStr"/>
      <c r="C19" s="18" t="n">
        <v>0</v>
      </c>
    </row>
    <row r="20">
      <c r="A20" s="9" t="inlineStr">
        <is>
          <t>Subcontractor Subtotal</t>
        </is>
      </c>
      <c r="B20" s="12">
        <f>SUM(C19:C19)</f>
        <v/>
      </c>
    </row>
    <row r="21"/>
    <row r="22">
      <c r="A22" s="10" t="inlineStr">
        <is>
          <t>EQUIPMENT</t>
        </is>
      </c>
      <c r="B22" s="10" t="n"/>
      <c r="C22" s="10" t="n"/>
      <c r="D22" s="10" t="n"/>
      <c r="E22" s="10" t="n"/>
      <c r="F22" s="10" t="n"/>
    </row>
    <row r="23">
      <c r="A23" s="17" t="inlineStr">
        <is>
          <t>Item</t>
        </is>
      </c>
      <c r="B23" s="17" t="inlineStr">
        <is>
          <t>Duration (days)</t>
        </is>
      </c>
      <c r="C23" s="17" t="inlineStr">
        <is>
          <t>Daily Rate ($)</t>
        </is>
      </c>
      <c r="D23" s="17" t="inlineStr">
        <is>
          <t>Total ($)</t>
        </is>
      </c>
    </row>
    <row r="24">
      <c r="A24" s="5" t="inlineStr"/>
      <c r="B24" s="18" t="n">
        <v>0</v>
      </c>
      <c r="C24" s="18" t="n">
        <v>0</v>
      </c>
      <c r="D24" s="11">
        <f>B24*C24</f>
        <v/>
      </c>
    </row>
    <row r="25">
      <c r="A25" s="9" t="inlineStr">
        <is>
          <t>Equipment Subtotal</t>
        </is>
      </c>
      <c r="B25" s="12">
        <f>SUM(D24:D24)</f>
        <v/>
      </c>
    </row>
    <row r="26"/>
    <row r="27">
      <c r="A27" s="10" t="inlineStr">
        <is>
          <t>DIRECT COST TOTAL</t>
        </is>
      </c>
      <c r="B27" s="10" t="n"/>
      <c r="C27" s="10" t="n"/>
      <c r="D27" s="10" t="n"/>
      <c r="E27" s="10" t="n"/>
      <c r="F27" s="10" t="n"/>
    </row>
    <row r="28">
      <c r="A28" s="9" t="inlineStr">
        <is>
          <t>Direct Cost Total</t>
        </is>
      </c>
      <c r="B28" s="12">
        <f>B4+B15+B20+B25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9" customWidth="1" min="4" max="4"/>
    <col width="35" customWidth="1" min="5" max="5"/>
  </cols>
  <sheetData>
    <row r="1">
      <c r="A1" s="1" t="inlineStr">
        <is>
          <t>Project Schedule</t>
        </is>
      </c>
    </row>
    <row r="2">
      <c r="A2" s="3" t="inlineStr">
        <is>
          <t>DC-14 Electrical Rough-In</t>
        </is>
      </c>
    </row>
    <row r="3">
      <c r="A3" s="2" t="inlineStr">
        <is>
          <t>Total Timeline: 22 weeks</t>
        </is>
      </c>
    </row>
    <row r="4"/>
    <row r="5">
      <c r="A5" s="10" t="inlineStr">
        <is>
          <t>PHASES</t>
        </is>
      </c>
      <c r="B5" s="10" t="n"/>
      <c r="C5" s="10" t="n"/>
      <c r="D5" s="10" t="n"/>
      <c r="E5" s="10" t="n"/>
    </row>
    <row r="6">
      <c r="A6" s="17" t="inlineStr">
        <is>
          <t>Phase</t>
        </is>
      </c>
      <c r="B6" s="17" t="inlineStr">
        <is>
          <t>Start Week</t>
        </is>
      </c>
      <c r="C6" s="17" t="inlineStr">
        <is>
          <t>End Week</t>
        </is>
      </c>
      <c r="D6" s="17" t="inlineStr">
        <is>
          <t>Duration (weeks)</t>
        </is>
      </c>
      <c r="E6" s="17" t="inlineStr">
        <is>
          <t>Notes</t>
        </is>
      </c>
    </row>
    <row r="7">
      <c r="A7" s="5" t="inlineStr">
        <is>
          <t>(No phases defined)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2026-04-22T19:28:53Z</dcterms:created>
  <dcterms:modified xmlns:dcterms="http://purl.org/dc/terms/" xmlns:xsi="http://www.w3.org/2001/XMLSchema-instance" xsi:type="dcterms:W3CDTF">2026-04-22T19:28:53Z</dcterms:modified>
</cp:coreProperties>
</file>