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Dashboard" sheetId="2" state="visible" r:id="rId2"/>
    <sheet xmlns:r="http://schemas.openxmlformats.org/officeDocument/2006/relationships" name="Assumptions" sheetId="3" state="visible" r:id="rId3"/>
    <sheet xmlns:r="http://schemas.openxmlformats.org/officeDocument/2006/relationships" name="P&amp;L" sheetId="4" state="visible" r:id="rId4"/>
    <sheet xmlns:r="http://schemas.openxmlformats.org/officeDocument/2006/relationships" name="Job Margins" sheetId="5" state="visible" r:id="rId5"/>
    <sheet xmlns:r="http://schemas.openxmlformats.org/officeDocument/2006/relationships" name="Cash Flow" sheetId="6" state="visible" r:id="rId6"/>
  </sheets>
  <definedNames/>
  <calcPr calcId="124519" fullCalcOnLoad="1"/>
</workbook>
</file>

<file path=xl/styles.xml><?xml version="1.0" encoding="utf-8"?>
<styleSheet xmlns="http://schemas.openxmlformats.org/spreadsheetml/2006/main">
  <numFmts count="5">
    <numFmt numFmtId="164" formatCode="$#,##0"/>
    <numFmt numFmtId="165" formatCode="0.0%"/>
    <numFmt numFmtId="166" formatCode="+$#,##0;-$#,##0;$0"/>
    <numFmt numFmtId="167" formatCode="+0.0%;-0.0%;0.0%"/>
    <numFmt numFmtId="168" formatCode="0 &quot;jobs&quot;"/>
  </numFmts>
  <fonts count="15">
    <font>
      <name val="Calibri"/>
      <family val="2"/>
      <color theme="1"/>
      <sz val="11"/>
      <scheme val="minor"/>
    </font>
    <font>
      <name val="Arial"/>
      <b val="1"/>
      <color rgb="001F4E79"/>
      <sz val="14"/>
    </font>
    <font>
      <name val="Arial"/>
      <i val="1"/>
      <color rgb="007F4F24"/>
      <sz val="9"/>
    </font>
    <font>
      <name val="Arial"/>
      <b val="1"/>
      <color rgb="001F4E79"/>
      <sz val="12"/>
    </font>
    <font>
      <name val="Arial"/>
      <b val="1"/>
      <sz val="10"/>
    </font>
    <font>
      <name val="Arial"/>
      <color rgb="000000FF"/>
      <sz val="11"/>
    </font>
    <font>
      <name val="Arial"/>
      <b val="1"/>
      <color rgb="00000000"/>
      <sz val="11"/>
    </font>
    <font>
      <name val="Arial"/>
      <sz val="10"/>
    </font>
    <font>
      <name val="Arial"/>
      <b val="1"/>
      <sz val="9"/>
    </font>
    <font>
      <name val="Arial"/>
      <b val="1"/>
      <color rgb="00FFFFFF"/>
      <sz val="11"/>
    </font>
    <font>
      <name val="Arial"/>
      <color rgb="00000000"/>
      <sz val="11"/>
    </font>
    <font>
      <name val="Arial"/>
      <b val="1"/>
      <color rgb="00666666"/>
      <sz val="10"/>
    </font>
    <font>
      <name val="Arial"/>
      <b val="1"/>
      <color rgb="001F4E79"/>
      <sz val="11"/>
    </font>
    <font>
      <name val="Arial"/>
      <sz val="11"/>
    </font>
    <font>
      <name val="Arial"/>
      <b val="1"/>
      <sz val="11"/>
    </font>
  </fonts>
  <fills count="10">
    <fill>
      <patternFill/>
    </fill>
    <fill>
      <patternFill patternType="gray125"/>
    </fill>
    <fill>
      <patternFill patternType="solid">
        <fgColor rgb="00FCE4D6"/>
      </patternFill>
    </fill>
    <fill>
      <patternFill patternType="solid">
        <fgColor rgb="00D6E4F0"/>
      </patternFill>
    </fill>
    <fill>
      <patternFill patternType="solid">
        <fgColor rgb="00FFF2CC"/>
      </patternFill>
    </fill>
    <fill>
      <patternFill patternType="solid">
        <fgColor rgb="001F4E79"/>
      </patternFill>
    </fill>
    <fill>
      <patternFill patternType="solid">
        <fgColor rgb="00E8E8E8"/>
      </patternFill>
    </fill>
    <fill>
      <patternFill patternType="solid">
        <fgColor rgb="00DAEEF3"/>
      </patternFill>
    </fill>
    <fill>
      <patternFill patternType="solid">
        <fgColor rgb="00E2EFDA"/>
      </patternFill>
    </fill>
    <fill>
      <patternFill patternType="solid">
        <fgColor rgb="00FCE4EC"/>
      </patternFill>
    </fill>
  </fills>
  <borders count="6">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48">
    <xf numFmtId="0" fontId="0" fillId="0" borderId="0" pivotButton="0" quotePrefix="0" xfId="0"/>
    <xf numFmtId="0" fontId="1" fillId="0" borderId="1" pivotButton="0" quotePrefix="0" xfId="0"/>
    <xf numFmtId="0" fontId="13" fillId="0" borderId="0" applyAlignment="1" pivotButton="0" quotePrefix="0" xfId="0">
      <alignment wrapText="1"/>
    </xf>
    <xf numFmtId="0" fontId="3" fillId="3" borderId="1" pivotButton="0" quotePrefix="0" xfId="0"/>
    <xf numFmtId="0" fontId="0" fillId="3" borderId="1" pivotButton="0" quotePrefix="0" xfId="0"/>
    <xf numFmtId="0" fontId="0" fillId="4" borderId="1" pivotButton="0" quotePrefix="0" xfId="0"/>
    <xf numFmtId="0" fontId="14" fillId="0" borderId="1" pivotButton="0" quotePrefix="0" xfId="0"/>
    <xf numFmtId="0" fontId="13" fillId="0" borderId="1" pivotButton="0" quotePrefix="0" xfId="0"/>
    <xf numFmtId="0" fontId="0" fillId="7" borderId="1" pivotButton="0" quotePrefix="0" xfId="0"/>
    <xf numFmtId="0" fontId="0" fillId="6" borderId="1" pivotButton="0" quotePrefix="0" xfId="0"/>
    <xf numFmtId="0" fontId="0" fillId="8" borderId="1" pivotButton="0" quotePrefix="0" xfId="0"/>
    <xf numFmtId="0" fontId="0" fillId="9" borderId="1" pivotButton="0" quotePrefix="0" xfId="0"/>
    <xf numFmtId="0" fontId="11" fillId="0" borderId="1" pivotButton="0" quotePrefix="0" xfId="0"/>
    <xf numFmtId="0" fontId="12" fillId="0" borderId="1" pivotButton="0" quotePrefix="0" xfId="0"/>
    <xf numFmtId="164" fontId="6" fillId="0" borderId="1" pivotButton="0" quotePrefix="0" xfId="0"/>
    <xf numFmtId="165" fontId="6" fillId="0" borderId="1" pivotButton="0" quotePrefix="0" xfId="0"/>
    <xf numFmtId="0" fontId="4" fillId="8" borderId="1" pivotButton="0" quotePrefix="0" xfId="0"/>
    <xf numFmtId="0" fontId="4" fillId="0" borderId="1" pivotButton="0" quotePrefix="0" xfId="0"/>
    <xf numFmtId="164" fontId="10" fillId="0" borderId="1" pivotButton="0" quotePrefix="0" xfId="0"/>
    <xf numFmtId="0" fontId="10" fillId="0" borderId="1" pivotButton="0" quotePrefix="0" xfId="0"/>
    <xf numFmtId="165" fontId="10" fillId="0" borderId="1" pivotButton="0" quotePrefix="0" xfId="0"/>
    <xf numFmtId="164" fontId="5" fillId="4" borderId="1" applyProtection="1" pivotButton="0" quotePrefix="0" xfId="0">
      <protection locked="0" hidden="0"/>
    </xf>
    <xf numFmtId="165" fontId="5" fillId="4" borderId="1" applyProtection="1" pivotButton="0" quotePrefix="0" xfId="0">
      <protection locked="0" hidden="0"/>
    </xf>
    <xf numFmtId="0" fontId="2" fillId="2" borderId="1" pivotButton="0" quotePrefix="0" xfId="0"/>
    <xf numFmtId="49" fontId="5" fillId="4" borderId="1" applyProtection="1" pivotButton="0" quotePrefix="0" xfId="0">
      <protection locked="0" hidden="0"/>
    </xf>
    <xf numFmtId="1" fontId="5" fillId="4" borderId="1" applyProtection="1" pivotButton="0" quotePrefix="0" xfId="0">
      <protection locked="0" hidden="0"/>
    </xf>
    <xf numFmtId="0" fontId="7" fillId="0" borderId="1" pivotButton="0" quotePrefix="0" xfId="0"/>
    <xf numFmtId="0" fontId="8" fillId="0" borderId="1" applyAlignment="1" pivotButton="0" quotePrefix="0" xfId="0">
      <alignment horizontal="center"/>
    </xf>
    <xf numFmtId="165" fontId="5" fillId="4" borderId="1" applyAlignment="1" applyProtection="1" pivotButton="0" quotePrefix="0" xfId="0">
      <alignment horizontal="center"/>
      <protection locked="0" hidden="0"/>
    </xf>
    <xf numFmtId="0" fontId="0" fillId="5" borderId="1" pivotButton="0" quotePrefix="0" xfId="0"/>
    <xf numFmtId="0" fontId="9" fillId="5" borderId="1" applyAlignment="1" pivotButton="0" quotePrefix="0" xfId="0">
      <alignment horizontal="center"/>
    </xf>
    <xf numFmtId="0" fontId="0" fillId="0" borderId="4" pivotButton="0" quotePrefix="0" xfId="0"/>
    <xf numFmtId="0" fontId="0" fillId="0" borderId="5" pivotButton="0" quotePrefix="0" xfId="0"/>
    <xf numFmtId="0" fontId="4" fillId="6" borderId="1" pivotButton="0" quotePrefix="0" xfId="0"/>
    <xf numFmtId="0" fontId="8" fillId="6" borderId="1" applyAlignment="1" pivotButton="0" quotePrefix="0" xfId="0">
      <alignment horizontal="center"/>
    </xf>
    <xf numFmtId="0" fontId="8" fillId="7" borderId="1" applyAlignment="1" pivotButton="0" quotePrefix="0" xfId="0">
      <alignment horizontal="center"/>
    </xf>
    <xf numFmtId="0" fontId="8" fillId="6" borderId="1" pivotButton="0" quotePrefix="0" xfId="0"/>
    <xf numFmtId="0" fontId="8" fillId="7" borderId="1" pivotButton="0" quotePrefix="0" xfId="0"/>
    <xf numFmtId="164" fontId="5" fillId="7" borderId="1" applyProtection="1" pivotButton="0" quotePrefix="0" xfId="0">
      <protection locked="0" hidden="0"/>
    </xf>
    <xf numFmtId="166" fontId="10" fillId="0" borderId="1" pivotButton="0" quotePrefix="0" xfId="0"/>
    <xf numFmtId="167" fontId="10" fillId="0" borderId="1" pivotButton="0" quotePrefix="0" xfId="0"/>
    <xf numFmtId="165" fontId="5" fillId="7" borderId="1" applyProtection="1" pivotButton="0" quotePrefix="0" xfId="0">
      <protection locked="0" hidden="0"/>
    </xf>
    <xf numFmtId="0" fontId="9" fillId="5" borderId="1" applyAlignment="1" pivotButton="0" quotePrefix="0" xfId="0">
      <alignment horizontal="center" wrapText="1"/>
    </xf>
    <xf numFmtId="0" fontId="5" fillId="0" borderId="1" applyProtection="1" pivotButton="0" quotePrefix="0" xfId="0">
      <protection locked="0" hidden="0"/>
    </xf>
    <xf numFmtId="0" fontId="6" fillId="0" borderId="1" pivotButton="0" quotePrefix="0" xfId="0"/>
    <xf numFmtId="168" fontId="6" fillId="0" borderId="1" pivotButton="0" quotePrefix="0" xfId="0"/>
    <xf numFmtId="166" fontId="6"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2" customWidth="1" min="1" max="1"/>
    <col width="15" customWidth="1" min="2" max="2"/>
    <col width="45" customWidth="1" min="3" max="3"/>
    <col width="15" customWidth="1" min="4" max="4"/>
    <col width="15" customWidth="1" min="5" max="5"/>
  </cols>
  <sheetData>
    <row r="1">
      <c r="A1" s="1" t="inlineStr">
        <is>
          <t>How to Use This Workbook</t>
        </is>
      </c>
    </row>
    <row r="2"/>
    <row r="3" ht="45" customHeight="1">
      <c r="A3" s="2" t="inlineStr">
        <is>
          <t>This workbook is your complete financial model. It tracks revenue, costs, job margins, and cash flow across your entire operation so you can see where money is coming from and where it's going.</t>
        </is>
      </c>
    </row>
    <row r="4"/>
    <row r="5" ht="45" customHeight="1">
      <c r="A5" s="2" t="inlineStr">
        <is>
          <t>Start on the Assumptions tab and update the yellow cells with your numbers -- revenue target, cost percentages, overhead, and cash on hand. Each month, enter actuals in the blue columns on the P&amp;L tab. Log each job on the Job Margins tab. All dashboards update automatically.</t>
        </is>
      </c>
    </row>
    <row r="6"/>
    <row r="7" ht="45" customHeight="1">
      <c r="A7" s="2" t="inlineStr">
        <is>
          <t>Check the Dashboard tab for the big picture: your KPIs, margins, and whether you're on track for the year. The Cash Flow tab shows your 13-week runway so you never get surprised by a cash crunch.</t>
        </is>
      </c>
    </row>
    <row r="8"/>
    <row r="9">
      <c r="A9" s="3" t="inlineStr">
        <is>
          <t>COLOR GUIDE</t>
        </is>
      </c>
      <c r="B9" s="4" t="inlineStr"/>
      <c r="C9" s="4" t="inlineStr"/>
    </row>
    <row r="10">
      <c r="A10" s="5" t="inlineStr"/>
      <c r="B10" s="6" t="inlineStr">
        <is>
          <t>YELLOW</t>
        </is>
      </c>
      <c r="C10" s="7" t="inlineStr">
        <is>
          <t>Your input -- fill these in</t>
        </is>
      </c>
    </row>
    <row r="11">
      <c r="A11" s="8" t="inlineStr"/>
      <c r="B11" s="6" t="inlineStr">
        <is>
          <t>BLUE</t>
        </is>
      </c>
      <c r="C11" s="7" t="inlineStr">
        <is>
          <t>Actual results -- enter as they come in</t>
        </is>
      </c>
    </row>
    <row r="12">
      <c r="A12" s="9" t="inlineStr"/>
      <c r="B12" s="6" t="inlineStr">
        <is>
          <t>GRAY</t>
        </is>
      </c>
      <c r="C12" s="7" t="inlineStr">
        <is>
          <t>Calculated -- don't touch</t>
        </is>
      </c>
    </row>
    <row r="13">
      <c r="A13" s="10" t="inlineStr"/>
      <c r="B13" s="6" t="inlineStr">
        <is>
          <t>GREEN</t>
        </is>
      </c>
      <c r="C13" s="7" t="inlineStr">
        <is>
          <t>Good result -- on track</t>
        </is>
      </c>
    </row>
    <row r="14">
      <c r="A14" s="11" t="inlineStr"/>
      <c r="B14" s="6" t="inlineStr">
        <is>
          <t>RED</t>
        </is>
      </c>
      <c r="C14" s="7" t="inlineStr">
        <is>
          <t>Needs attention -- action required</t>
        </is>
      </c>
    </row>
  </sheetData>
  <sheetProtection selectLockedCells="0" selectUnlockedCells="0" sheet="1" objects="0" insertRows="1" insertHyperlinks="1" autoFilter="0" scenarios="0" formatColumns="0" deleteColumns="1" insertColumns="1" pivotTables="1" deleteRows="1" formatCells="0" formatRows="0" sort="0" password="CE4B"/>
  <mergeCells count="4">
    <mergeCell ref="A1:E1"/>
    <mergeCell ref="A7:E7"/>
    <mergeCell ref="A5:E5"/>
    <mergeCell ref="A3:E3"/>
  </mergeCells>
  <pageMargins left="0.75" right="0.75" top="1" bottom="1" header="0.5" footer="0.5"/>
  <headerFooter>
    <oddHeader/>
    <oddFooter>&amp;R&amp;9 &amp;K808080Generated by Endall | endall.ai</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8" customWidth="1" min="1" max="1"/>
    <col width="22" customWidth="1" min="2" max="2"/>
    <col width="18" customWidth="1" min="3" max="3"/>
    <col width="18" customWidth="1" min="4" max="4"/>
  </cols>
  <sheetData>
    <row r="1">
      <c r="A1" s="1">
        <f>Assumptions!$B$5&amp;" -- "&amp;Assumptions!$B$6&amp;" Dashboard"</f>
        <v/>
      </c>
    </row>
    <row r="2">
      <c r="A2" s="12" t="inlineStr">
        <is>
          <t>Generated April 22, 2026</t>
        </is>
      </c>
    </row>
    <row r="3"/>
    <row r="4">
      <c r="A4" s="3" t="inlineStr">
        <is>
          <t>THE BOTTOM LINE</t>
        </is>
      </c>
      <c r="B4" s="4" t="inlineStr"/>
    </row>
    <row r="5">
      <c r="A5" s="13" t="inlineStr">
        <is>
          <t>Annual Revenue Target</t>
        </is>
      </c>
      <c r="B5" s="14">
        <f>Assumptions!$B$10</f>
        <v/>
      </c>
    </row>
    <row r="6">
      <c r="A6" s="13" t="inlineStr">
        <is>
          <t>Projected Annual Profit (EBITDA)</t>
        </is>
      </c>
      <c r="B6" s="14">
        <f>Assumptions!$B$63</f>
        <v/>
      </c>
    </row>
    <row r="7">
      <c r="A7" s="13" t="inlineStr">
        <is>
          <t>Profit Margin % (Gross Margin)</t>
        </is>
      </c>
      <c r="B7" s="15">
        <f>Assumptions!$B$61</f>
        <v/>
      </c>
    </row>
    <row r="8">
      <c r="A8" s="13" t="inlineStr">
        <is>
          <t>Profit Before Taxes % (EBITDA Margin)</t>
        </is>
      </c>
      <c r="B8" s="15">
        <f>Assumptions!$B$64</f>
        <v/>
      </c>
    </row>
    <row r="9">
      <c r="A9" s="13" t="inlineStr">
        <is>
          <t>Cash on Hand</t>
        </is>
      </c>
      <c r="B9" s="14">
        <f>Assumptions!$B$49</f>
        <v/>
      </c>
    </row>
    <row r="10"/>
    <row r="11">
      <c r="A11" s="3" t="inlineStr">
        <is>
          <t>KEY PERFORMANCE INDICATORS</t>
        </is>
      </c>
      <c r="B11" s="4" t="inlineStr"/>
      <c r="C11" s="4" t="inlineStr"/>
      <c r="D11" s="4" t="inlineStr"/>
    </row>
    <row r="12">
      <c r="A12" s="16" t="inlineStr">
        <is>
          <t>Metric</t>
        </is>
      </c>
      <c r="B12" s="16" t="inlineStr">
        <is>
          <t>Current</t>
        </is>
      </c>
      <c r="C12" s="16" t="inlineStr">
        <is>
          <t>Target</t>
        </is>
      </c>
      <c r="D12" s="16" t="inlineStr">
        <is>
          <t>Status</t>
        </is>
      </c>
    </row>
    <row r="13">
      <c r="A13" s="17" t="inlineStr">
        <is>
          <t>Revenue Year to Date (YTD)</t>
        </is>
      </c>
      <c r="B13" s="18">
        <f>'P&amp;L'!AY10</f>
        <v/>
      </c>
      <c r="C13" s="18">
        <f>Assumptions!$B$10</f>
        <v/>
      </c>
      <c r="D13" s="19">
        <f>IF(OR(B13="",C13=""),"",IF(B13&gt;=C13,"On Track","Below Target"))</f>
        <v/>
      </c>
    </row>
    <row r="14">
      <c r="A14" s="17" t="inlineStr">
        <is>
          <t>Profit Margin % (Gross Margin)</t>
        </is>
      </c>
      <c r="B14" s="20">
        <f>IF('P&amp;L'!AY10=0,"",'P&amp;L'!AY19/'P&amp;L'!AY10)</f>
        <v/>
      </c>
      <c r="C14" s="20">
        <f>Assumptions!$B$44</f>
        <v/>
      </c>
      <c r="D14" s="19">
        <f>IF(OR(B14="",C14=""),"",IF(B14&gt;=C14,"On Track","Below Target"))</f>
        <v/>
      </c>
    </row>
    <row r="15">
      <c r="A15" s="17" t="inlineStr">
        <is>
          <t>Profit Before Taxes % (EBITDA)</t>
        </is>
      </c>
      <c r="B15" s="20">
        <f>IF('P&amp;L'!AY10=0,"",'P&amp;L'!AY38/'P&amp;L'!AY10)</f>
        <v/>
      </c>
      <c r="C15" s="20">
        <f>Assumptions!$B$45</f>
        <v/>
      </c>
      <c r="D15" s="19">
        <f>IF(OR(B15="",C15=""),"",IF(B15&gt;=C15,"On Track","Below Target"))</f>
        <v/>
      </c>
    </row>
    <row r="16">
      <c r="A16" s="17" t="inlineStr">
        <is>
          <t>Labor as % of Revenue</t>
        </is>
      </c>
      <c r="B16" s="20">
        <f>IF('P&amp;L'!AY10=0,"",'P&amp;L'!AY13/'P&amp;L'!AY10)</f>
        <v/>
      </c>
      <c r="C16" s="20">
        <f>Assumptions!$B$46</f>
        <v/>
      </c>
      <c r="D16" s="19">
        <f>IF(OR(B16="",C16=""),"",IF(B16&lt;=C16,"On Track","Above Target"))</f>
        <v/>
      </c>
    </row>
    <row r="17">
      <c r="A17" s="17" t="inlineStr">
        <is>
          <t>Average Job Margin %</t>
        </is>
      </c>
      <c r="B17" s="20">
        <f>'Job Margins'!I19</f>
        <v/>
      </c>
      <c r="C17" s="20">
        <f>Assumptions!$B$44</f>
        <v/>
      </c>
      <c r="D17" s="19">
        <f>IF(OR(B17="",C17=""),"",IF(B17&gt;=C17,"On Track","Below Target"))</f>
        <v/>
      </c>
    </row>
    <row r="18">
      <c r="A18" s="17" t="inlineStr">
        <is>
          <t>Revenue per Technician</t>
        </is>
      </c>
      <c r="B18" s="18">
        <f>Assumptions!$B$65</f>
        <v/>
      </c>
      <c r="C18" s="18" t="inlineStr">
        <is>
          <t>200000</t>
        </is>
      </c>
      <c r="D18" s="19">
        <f>IF(OR(B18="",C18=""),"",IF(B18&gt;=C18,"On Track","Below Target"))</f>
        <v/>
      </c>
    </row>
    <row r="19"/>
    <row r="20">
      <c r="A20" s="3" t="inlineStr">
        <is>
          <t>ADDITIONAL METRICS (ENTER MANUALLY)</t>
        </is>
      </c>
      <c r="B20" s="4" t="inlineStr"/>
      <c r="C20" s="4" t="inlineStr"/>
      <c r="D20" s="4" t="inlineStr"/>
    </row>
    <row r="21">
      <c r="A21" s="17" t="inlineStr">
        <is>
          <t>Backlog (Total Contract Value in Pipeline)</t>
        </is>
      </c>
      <c r="B21" s="21" t="n"/>
    </row>
    <row r="22">
      <c r="A22" s="17" t="inlineStr">
        <is>
          <t>Bid Close Rate %</t>
        </is>
      </c>
      <c r="B22" s="22" t="n"/>
    </row>
    <row r="23">
      <c r="A23" s="17" t="inlineStr">
        <is>
          <t>Accounts Receivable Over 60 Days</t>
        </is>
      </c>
      <c r="B23" s="21" t="n"/>
    </row>
  </sheetData>
  <sheetProtection selectLockedCells="0" selectUnlockedCells="0" sheet="1" objects="0" insertRows="1" insertHyperlinks="1" autoFilter="0" scenarios="0" formatColumns="0" deleteColumns="1" insertColumns="1" pivotTables="1" deleteRows="1" formatCells="0" formatRows="0" sort="0" password="CE4B"/>
  <mergeCells count="1">
    <mergeCell ref="A1:D1"/>
  </mergeCells>
  <pageMargins left="0.75" right="0.75" top="1" bottom="1" header="0.5" footer="0.5"/>
  <headerFooter>
    <oddHeader/>
    <oddFooter>&amp;R&amp;9 &amp;K808080Generated by Endall | endall.ai</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cols>
    <col width="5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c r="A1" s="1" t="inlineStr">
        <is>
          <t>Harbor Electric -- 2026 Financial Model: Assumptions</t>
        </is>
      </c>
    </row>
    <row r="2">
      <c r="A2" s="23" t="inlineStr">
        <is>
          <t>Change any yellow number and the entire workbook updates automatically.</t>
        </is>
      </c>
    </row>
    <row r="3"/>
    <row r="4">
      <c r="A4" s="3" t="inlineStr">
        <is>
          <t>COMPANY INFO</t>
        </is>
      </c>
      <c r="B4" s="4" t="inlineStr"/>
    </row>
    <row r="5">
      <c r="A5" s="17" t="inlineStr">
        <is>
          <t>Company Name</t>
        </is>
      </c>
      <c r="B5" s="24" t="inlineStr">
        <is>
          <t>Harbor Electric</t>
        </is>
      </c>
    </row>
    <row r="6">
      <c r="A6" s="17" t="inlineStr">
        <is>
          <t>Fiscal Year</t>
        </is>
      </c>
      <c r="B6" s="25" t="n">
        <v>2026</v>
      </c>
    </row>
    <row r="7">
      <c r="A7" s="17" t="inlineStr">
        <is>
          <t>Number of Technicians</t>
        </is>
      </c>
      <c r="B7" s="25" t="n">
        <v>22</v>
      </c>
    </row>
    <row r="8"/>
    <row r="9">
      <c r="A9" s="3" t="inlineStr">
        <is>
          <t>REVENUE</t>
        </is>
      </c>
      <c r="B9" s="4" t="inlineStr"/>
    </row>
    <row r="10">
      <c r="A10" s="17" t="inlineStr">
        <is>
          <t>Annual Revenue Target</t>
        </is>
      </c>
      <c r="B10" s="21" t="n">
        <v>5400000</v>
      </c>
    </row>
    <row r="11">
      <c r="A11" s="17" t="inlineStr">
        <is>
          <t>Monthly Revenue Target (Calculated)</t>
        </is>
      </c>
      <c r="B11" s="14">
        <f>Assumptions!$B$10/12</f>
        <v/>
      </c>
    </row>
    <row r="12">
      <c r="A12" s="17" t="inlineStr">
        <is>
          <t>Revenue Growth Target %</t>
        </is>
      </c>
      <c r="B12" s="22" t="n">
        <v>0.16</v>
      </c>
    </row>
    <row r="13"/>
    <row r="14">
      <c r="A14" s="17" t="inlineStr">
        <is>
          <t>Revenue Mix (must total 100%)</t>
        </is>
      </c>
    </row>
    <row r="15">
      <c r="A15" s="26" t="inlineStr">
        <is>
          <t xml:space="preserve">  Commercial % of Revenue</t>
        </is>
      </c>
      <c r="B15" s="22" t="n">
        <v>0.45</v>
      </c>
    </row>
    <row r="16">
      <c r="A16" s="26" t="inlineStr">
        <is>
          <t xml:space="preserve">  Data Center % of Revenue</t>
        </is>
      </c>
      <c r="B16" s="22" t="n">
        <v>0.35</v>
      </c>
    </row>
    <row r="17">
      <c r="A17" s="26" t="inlineStr">
        <is>
          <t xml:space="preserve">  Residential % of Revenue</t>
        </is>
      </c>
      <c r="B17" s="22" t="n">
        <v>0.1</v>
      </c>
    </row>
    <row r="18">
      <c r="A18" s="26" t="inlineStr">
        <is>
          <t xml:space="preserve">  Service Agreements % of Revenue</t>
        </is>
      </c>
      <c r="B18" s="22" t="n">
        <v>0.1</v>
      </c>
    </row>
    <row r="19"/>
    <row r="20">
      <c r="A20" s="3" t="inlineStr">
        <is>
          <t>YOUR COSTS (% OF REVENUE)</t>
        </is>
      </c>
      <c r="B20" s="4" t="inlineStr"/>
    </row>
    <row r="21">
      <c r="A21" s="17" t="inlineStr">
        <is>
          <t>Labor %</t>
        </is>
      </c>
      <c r="B21" s="22" t="n">
        <v>0.3</v>
      </c>
    </row>
    <row r="22">
      <c r="A22" s="17" t="inlineStr">
        <is>
          <t>Materials %</t>
        </is>
      </c>
      <c r="B22" s="22" t="n">
        <v>0.25</v>
      </c>
    </row>
    <row r="23">
      <c r="A23" s="17" t="inlineStr">
        <is>
          <t>Subcontractors %</t>
        </is>
      </c>
      <c r="B23" s="22" t="n">
        <v>0.15</v>
      </c>
    </row>
    <row r="24">
      <c r="A24" s="17" t="inlineStr">
        <is>
          <t>Equipment %</t>
        </is>
      </c>
      <c r="B24" s="22" t="n">
        <v>0.03</v>
      </c>
    </row>
    <row r="25">
      <c r="A25" s="17" t="inlineStr">
        <is>
          <t>Total Cost %</t>
        </is>
      </c>
      <c r="B25" s="15">
        <f>Assumptions!$B$21+Assumptions!$B$22+Assumptions!$B$23+Assumptions!$B$24</f>
        <v/>
      </c>
    </row>
    <row r="26"/>
    <row r="27">
      <c r="A27" s="3" t="inlineStr">
        <is>
          <t>MONTHLY OVERHEAD</t>
        </is>
      </c>
      <c r="B27" s="4" t="inlineStr"/>
    </row>
    <row r="28">
      <c r="A28" s="26" t="inlineStr">
        <is>
          <t xml:space="preserve">  Rent / Office</t>
        </is>
      </c>
      <c r="B28" s="21" t="n">
        <v>9000</v>
      </c>
    </row>
    <row r="29">
      <c r="A29" s="26" t="inlineStr">
        <is>
          <t xml:space="preserve">  Insurance (GL, WC, Vehicle)</t>
        </is>
      </c>
      <c r="B29" s="21" t="n">
        <v>13500</v>
      </c>
    </row>
    <row r="30">
      <c r="A30" s="26" t="inlineStr">
        <is>
          <t xml:space="preserve">  Vehicle Lease / Fuel</t>
        </is>
      </c>
      <c r="B30" s="21" t="n">
        <v>11250</v>
      </c>
    </row>
    <row r="31">
      <c r="A31" s="26" t="inlineStr">
        <is>
          <t xml:space="preserve">  Tools &amp; Equipment</t>
        </is>
      </c>
      <c r="B31" s="21" t="n">
        <v>4500</v>
      </c>
    </row>
    <row r="32">
      <c r="A32" s="26" t="inlineStr">
        <is>
          <t xml:space="preserve">  Admin Salaries</t>
        </is>
      </c>
      <c r="B32" s="21" t="n">
        <v>22500</v>
      </c>
    </row>
    <row r="33">
      <c r="A33" s="26" t="inlineStr">
        <is>
          <t xml:space="preserve">  Software / IT</t>
        </is>
      </c>
      <c r="B33" s="21" t="n">
        <v>3150</v>
      </c>
    </row>
    <row r="34">
      <c r="A34" s="26" t="inlineStr">
        <is>
          <t xml:space="preserve">  Professional Fees (Legal, Acct)</t>
        </is>
      </c>
      <c r="B34" s="21" t="n">
        <v>3600</v>
      </c>
    </row>
    <row r="35">
      <c r="A35" s="26" t="inlineStr">
        <is>
          <t xml:space="preserve">  Marketing / Biz Dev</t>
        </is>
      </c>
      <c r="B35" s="21" t="n">
        <v>4500</v>
      </c>
    </row>
    <row r="36">
      <c r="A36" s="26" t="inlineStr">
        <is>
          <t xml:space="preserve">  Utilities</t>
        </is>
      </c>
      <c r="B36" s="21" t="n">
        <v>2250</v>
      </c>
    </row>
    <row r="37">
      <c r="A37" s="26" t="inlineStr">
        <is>
          <t xml:space="preserve">  Office Supplies</t>
        </is>
      </c>
      <c r="B37" s="21" t="n">
        <v>1350</v>
      </c>
    </row>
    <row r="38">
      <c r="A38" s="26" t="inlineStr">
        <is>
          <t xml:space="preserve">  Permits &amp; Licenses</t>
        </is>
      </c>
      <c r="B38" s="21" t="n">
        <v>1800</v>
      </c>
    </row>
    <row r="39">
      <c r="A39" s="26" t="inlineStr">
        <is>
          <t xml:space="preserve">  Training &amp; Certifications</t>
        </is>
      </c>
      <c r="B39" s="21" t="n">
        <v>1350</v>
      </c>
    </row>
    <row r="40">
      <c r="A40" s="17" t="inlineStr">
        <is>
          <t xml:space="preserve">  Total Monthly Overhead</t>
        </is>
      </c>
      <c r="B40" s="14">
        <f>Assumptions!$B$28+Assumptions!$B$29+Assumptions!$B$30+Assumptions!$B$31+Assumptions!$B$32+Assumptions!$B$33+Assumptions!$B$34+Assumptions!$B$35+Assumptions!$B$36+Assumptions!$B$37+Assumptions!$B$38+Assumptions!$B$39</f>
        <v/>
      </c>
    </row>
    <row r="41">
      <c r="A41" s="23" t="inlineStr">
        <is>
          <t>Overhead estimated from industry benchmarks -- update with your actual figures.</t>
        </is>
      </c>
    </row>
    <row r="42"/>
    <row r="43">
      <c r="A43" s="3" t="inlineStr">
        <is>
          <t>YOUR TARGETS</t>
        </is>
      </c>
      <c r="B43" s="4" t="inlineStr"/>
    </row>
    <row r="44">
      <c r="A44" s="17" t="inlineStr">
        <is>
          <t>Profit After Direct Costs Target (Gross Margin %)</t>
        </is>
      </c>
      <c r="B44" s="22" t="n">
        <v>0.27</v>
      </c>
    </row>
    <row r="45">
      <c r="A45" s="17" t="inlineStr">
        <is>
          <t>Profit Before Taxes Target (EBITDA %)</t>
        </is>
      </c>
      <c r="B45" s="22" t="n">
        <v>0.08</v>
      </c>
    </row>
    <row r="46">
      <c r="A46" s="17" t="inlineStr">
        <is>
          <t>Max Labor Cost (% of Revenue)</t>
        </is>
      </c>
      <c r="B46" s="22" t="n">
        <v>0.3</v>
      </c>
    </row>
    <row r="47"/>
    <row r="48">
      <c r="A48" s="3" t="inlineStr">
        <is>
          <t>CASH POSITION</t>
        </is>
      </c>
      <c r="B48" s="4" t="inlineStr"/>
    </row>
    <row r="49">
      <c r="A49" s="17" t="inlineStr">
        <is>
          <t>Cash on Hand Right Now</t>
        </is>
      </c>
      <c r="B49" s="21" t="n">
        <v>50000</v>
      </c>
    </row>
    <row r="50">
      <c r="A50" s="17" t="inlineStr">
        <is>
          <t>Minimum Cash Reserve (Safety Net)</t>
        </is>
      </c>
      <c r="B50" s="21" t="n">
        <v>25000</v>
      </c>
    </row>
    <row r="51"/>
    <row r="52">
      <c r="A52" s="3" t="inlineStr">
        <is>
          <t>SEASONALITY</t>
        </is>
      </c>
      <c r="B52" s="4" t="inlineStr"/>
    </row>
    <row r="53">
      <c r="A53" s="17" t="inlineStr">
        <is>
          <t>Monthly Revenue Weights (must total 100%)</t>
        </is>
      </c>
    </row>
    <row r="54">
      <c r="B54" s="27" t="inlineStr">
        <is>
          <t>Jan</t>
        </is>
      </c>
      <c r="C54" s="27" t="inlineStr">
        <is>
          <t>Feb</t>
        </is>
      </c>
      <c r="D54" s="27" t="inlineStr">
        <is>
          <t>Mar</t>
        </is>
      </c>
      <c r="E54" s="27" t="inlineStr">
        <is>
          <t>Apr</t>
        </is>
      </c>
      <c r="F54" s="27" t="inlineStr">
        <is>
          <t>May</t>
        </is>
      </c>
      <c r="G54" s="27" t="inlineStr">
        <is>
          <t>Jun</t>
        </is>
      </c>
      <c r="H54" s="27" t="inlineStr">
        <is>
          <t>Jul</t>
        </is>
      </c>
      <c r="I54" s="27" t="inlineStr">
        <is>
          <t>Aug</t>
        </is>
      </c>
      <c r="J54" s="27" t="inlineStr">
        <is>
          <t>Sep</t>
        </is>
      </c>
      <c r="K54" s="27" t="inlineStr">
        <is>
          <t>Oct</t>
        </is>
      </c>
      <c r="L54" s="27" t="inlineStr">
        <is>
          <t>Nov</t>
        </is>
      </c>
      <c r="M54" s="27" t="inlineStr">
        <is>
          <t>Dec</t>
        </is>
      </c>
    </row>
    <row r="55">
      <c r="B55" s="28" t="n">
        <v>0.08333333333333333</v>
      </c>
      <c r="C55" s="28" t="n">
        <v>0.08333333333333333</v>
      </c>
      <c r="D55" s="28" t="n">
        <v>0.08333333333333333</v>
      </c>
      <c r="E55" s="28" t="n">
        <v>0.08333333333333333</v>
      </c>
      <c r="F55" s="28" t="n">
        <v>0.08333333333333333</v>
      </c>
      <c r="G55" s="28" t="n">
        <v>0.08333333333333333</v>
      </c>
      <c r="H55" s="28" t="n">
        <v>0.08333333333333333</v>
      </c>
      <c r="I55" s="28" t="n">
        <v>0.08333333333333333</v>
      </c>
      <c r="J55" s="28" t="n">
        <v>0.08333333333333333</v>
      </c>
      <c r="K55" s="28" t="n">
        <v>0.08333333333333333</v>
      </c>
      <c r="L55" s="28" t="n">
        <v>0.08333333333333333</v>
      </c>
      <c r="M55" s="28" t="n">
        <v>0.08333333333333333</v>
      </c>
    </row>
    <row r="56">
      <c r="A56" s="23" t="inlineStr">
        <is>
          <t>Equal monthly weights assumed -- adjust if your revenue has seasonal peaks.</t>
        </is>
      </c>
    </row>
    <row r="57"/>
    <row r="58">
      <c r="A58" s="3" t="inlineStr">
        <is>
          <t>CALCULATED SUMMARY (DON'T CHANGE)</t>
        </is>
      </c>
      <c r="B58" s="4" t="inlineStr"/>
    </row>
    <row r="59">
      <c r="A59" s="17" t="inlineStr">
        <is>
          <t>Annual Direct Costs</t>
        </is>
      </c>
      <c r="B59" s="14">
        <f>Assumptions!$B$10*Assumptions!$B$25</f>
        <v/>
      </c>
    </row>
    <row r="60">
      <c r="A60" s="17" t="inlineStr">
        <is>
          <t>Profit After Direct Costs (Gross Profit)</t>
        </is>
      </c>
      <c r="B60" s="14">
        <f>Assumptions!$B$10-Assumptions!$B$59</f>
        <v/>
      </c>
    </row>
    <row r="61">
      <c r="A61" s="17" t="inlineStr">
        <is>
          <t>Profit Margin % (Gross Margin)</t>
        </is>
      </c>
      <c r="B61" s="15">
        <f>IF(Assumptions!$B$10=0,0,Assumptions!$B$60/Assumptions!$B$10)</f>
        <v/>
      </c>
    </row>
    <row r="62">
      <c r="A62" s="17" t="inlineStr">
        <is>
          <t>Annual Overhead</t>
        </is>
      </c>
      <c r="B62" s="14">
        <f>Assumptions!$B$40*12</f>
        <v/>
      </c>
    </row>
    <row r="63">
      <c r="A63" s="17" t="inlineStr">
        <is>
          <t>Profit Before Taxes (EBITDA)</t>
        </is>
      </c>
      <c r="B63" s="14">
        <f>Assumptions!$B$60-Assumptions!$B$62</f>
        <v/>
      </c>
    </row>
    <row r="64">
      <c r="A64" s="17" t="inlineStr">
        <is>
          <t>Profit Before Taxes % (EBITDA Margin)</t>
        </is>
      </c>
      <c r="B64" s="15">
        <f>IF(Assumptions!$B$10=0,0,Assumptions!$B$63/Assumptions!$B$10)</f>
        <v/>
      </c>
    </row>
    <row r="65">
      <c r="A65" s="17" t="inlineStr">
        <is>
          <t>Revenue per Technician</t>
        </is>
      </c>
      <c r="B65" s="14">
        <f>IF(Assumptions!$B$7=0,0,Assumptions!$B$10/Assumptions!$B$7)</f>
        <v/>
      </c>
    </row>
  </sheetData>
  <sheetProtection selectLockedCells="0" selectUnlockedCells="0" sheet="1" objects="0" insertRows="1" insertHyperlinks="1" autoFilter="0" scenarios="0" formatColumns="0" deleteColumns="1" insertColumns="1" pivotTables="1" deleteRows="1" formatCells="0" formatRows="0" sort="0" password="CE4B"/>
  <mergeCells count="4">
    <mergeCell ref="A1:D1"/>
    <mergeCell ref="A41:D41"/>
    <mergeCell ref="A2:D2"/>
    <mergeCell ref="A56:M56"/>
  </mergeCells>
  <pageMargins left="0.75" right="0.75" top="1" bottom="1" header="0.5" footer="0.5"/>
  <headerFooter>
    <oddHeader/>
    <oddFooter>&amp;R&amp;9 &amp;K808080Generated by Endall | endall.ai</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Y40"/>
  <sheetViews>
    <sheetView workbookViewId="0">
      <selection activeCell="A1" sqref="A1"/>
    </sheetView>
  </sheetViews>
  <sheetFormatPr baseColWidth="8" defaultRowHeight="15"/>
  <cols>
    <col width="4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s>
  <sheetData>
    <row r="1">
      <c r="A1" s="1">
        <f>Assumptions!$B$5&amp;" -- "&amp;Assumptions!$B$6&amp;" Profit &amp; Loss"</f>
        <v/>
      </c>
    </row>
    <row r="2"/>
    <row r="3">
      <c r="A3" s="29" t="inlineStr"/>
      <c r="B3" s="30" t="inlineStr">
        <is>
          <t>Jan</t>
        </is>
      </c>
      <c r="C3" s="31" t="n"/>
      <c r="D3" s="31" t="n"/>
      <c r="E3" s="32" t="n"/>
      <c r="F3" s="30" t="inlineStr">
        <is>
          <t>Feb</t>
        </is>
      </c>
      <c r="G3" s="31" t="n"/>
      <c r="H3" s="31" t="n"/>
      <c r="I3" s="32" t="n"/>
      <c r="J3" s="30" t="inlineStr">
        <is>
          <t>Mar</t>
        </is>
      </c>
      <c r="K3" s="31" t="n"/>
      <c r="L3" s="31" t="n"/>
      <c r="M3" s="32" t="n"/>
      <c r="N3" s="30" t="inlineStr">
        <is>
          <t>Apr</t>
        </is>
      </c>
      <c r="O3" s="31" t="n"/>
      <c r="P3" s="31" t="n"/>
      <c r="Q3" s="32" t="n"/>
      <c r="R3" s="30" t="inlineStr">
        <is>
          <t>May</t>
        </is>
      </c>
      <c r="S3" s="31" t="n"/>
      <c r="T3" s="31" t="n"/>
      <c r="U3" s="32" t="n"/>
      <c r="V3" s="30" t="inlineStr">
        <is>
          <t>Jun</t>
        </is>
      </c>
      <c r="W3" s="31" t="n"/>
      <c r="X3" s="31" t="n"/>
      <c r="Y3" s="32" t="n"/>
      <c r="Z3" s="30" t="inlineStr">
        <is>
          <t>Jul</t>
        </is>
      </c>
      <c r="AA3" s="31" t="n"/>
      <c r="AB3" s="31" t="n"/>
      <c r="AC3" s="32" t="n"/>
      <c r="AD3" s="30" t="inlineStr">
        <is>
          <t>Aug</t>
        </is>
      </c>
      <c r="AE3" s="31" t="n"/>
      <c r="AF3" s="31" t="n"/>
      <c r="AG3" s="32" t="n"/>
      <c r="AH3" s="30" t="inlineStr">
        <is>
          <t>Sep</t>
        </is>
      </c>
      <c r="AI3" s="31" t="n"/>
      <c r="AJ3" s="31" t="n"/>
      <c r="AK3" s="32" t="n"/>
      <c r="AL3" s="30" t="inlineStr">
        <is>
          <t>Oct</t>
        </is>
      </c>
      <c r="AM3" s="31" t="n"/>
      <c r="AN3" s="31" t="n"/>
      <c r="AO3" s="32" t="n"/>
      <c r="AP3" s="30" t="inlineStr">
        <is>
          <t>Nov</t>
        </is>
      </c>
      <c r="AQ3" s="31" t="n"/>
      <c r="AR3" s="31" t="n"/>
      <c r="AS3" s="32" t="n"/>
      <c r="AT3" s="30" t="inlineStr">
        <is>
          <t>Dec</t>
        </is>
      </c>
      <c r="AU3" s="31" t="n"/>
      <c r="AV3" s="31" t="n"/>
      <c r="AW3" s="32" t="n"/>
      <c r="AX3" s="30" t="inlineStr">
        <is>
          <t>YEAR TO DATE (YTD)</t>
        </is>
      </c>
      <c r="AY3" s="32" t="n"/>
    </row>
    <row r="4">
      <c r="A4" s="33" t="inlineStr">
        <is>
          <t>Line Item</t>
        </is>
      </c>
      <c r="B4" s="34" t="inlineStr">
        <is>
          <t>Budget</t>
        </is>
      </c>
      <c r="C4" s="35" t="inlineStr">
        <is>
          <t>Actual</t>
        </is>
      </c>
      <c r="D4" s="34" t="inlineStr">
        <is>
          <t>Var $</t>
        </is>
      </c>
      <c r="E4" s="34" t="inlineStr">
        <is>
          <t>Var %</t>
        </is>
      </c>
      <c r="F4" s="34" t="inlineStr">
        <is>
          <t>Budget</t>
        </is>
      </c>
      <c r="G4" s="35" t="inlineStr">
        <is>
          <t>Actual</t>
        </is>
      </c>
      <c r="H4" s="34" t="inlineStr">
        <is>
          <t>Var $</t>
        </is>
      </c>
      <c r="I4" s="34" t="inlineStr">
        <is>
          <t>Var %</t>
        </is>
      </c>
      <c r="J4" s="34" t="inlineStr">
        <is>
          <t>Budget</t>
        </is>
      </c>
      <c r="K4" s="35" t="inlineStr">
        <is>
          <t>Actual</t>
        </is>
      </c>
      <c r="L4" s="34" t="inlineStr">
        <is>
          <t>Var $</t>
        </is>
      </c>
      <c r="M4" s="34" t="inlineStr">
        <is>
          <t>Var %</t>
        </is>
      </c>
      <c r="N4" s="34" t="inlineStr">
        <is>
          <t>Budget</t>
        </is>
      </c>
      <c r="O4" s="35" t="inlineStr">
        <is>
          <t>Actual</t>
        </is>
      </c>
      <c r="P4" s="34" t="inlineStr">
        <is>
          <t>Var $</t>
        </is>
      </c>
      <c r="Q4" s="34" t="inlineStr">
        <is>
          <t>Var %</t>
        </is>
      </c>
      <c r="R4" s="34" t="inlineStr">
        <is>
          <t>Budget</t>
        </is>
      </c>
      <c r="S4" s="35" t="inlineStr">
        <is>
          <t>Actual</t>
        </is>
      </c>
      <c r="T4" s="34" t="inlineStr">
        <is>
          <t>Var $</t>
        </is>
      </c>
      <c r="U4" s="34" t="inlineStr">
        <is>
          <t>Var %</t>
        </is>
      </c>
      <c r="V4" s="34" t="inlineStr">
        <is>
          <t>Budget</t>
        </is>
      </c>
      <c r="W4" s="35" t="inlineStr">
        <is>
          <t>Actual</t>
        </is>
      </c>
      <c r="X4" s="34" t="inlineStr">
        <is>
          <t>Var $</t>
        </is>
      </c>
      <c r="Y4" s="34" t="inlineStr">
        <is>
          <t>Var %</t>
        </is>
      </c>
      <c r="Z4" s="34" t="inlineStr">
        <is>
          <t>Budget</t>
        </is>
      </c>
      <c r="AA4" s="35" t="inlineStr">
        <is>
          <t>Actual</t>
        </is>
      </c>
      <c r="AB4" s="34" t="inlineStr">
        <is>
          <t>Var $</t>
        </is>
      </c>
      <c r="AC4" s="34" t="inlineStr">
        <is>
          <t>Var %</t>
        </is>
      </c>
      <c r="AD4" s="34" t="inlineStr">
        <is>
          <t>Budget</t>
        </is>
      </c>
      <c r="AE4" s="35" t="inlineStr">
        <is>
          <t>Actual</t>
        </is>
      </c>
      <c r="AF4" s="34" t="inlineStr">
        <is>
          <t>Var $</t>
        </is>
      </c>
      <c r="AG4" s="34" t="inlineStr">
        <is>
          <t>Var %</t>
        </is>
      </c>
      <c r="AH4" s="34" t="inlineStr">
        <is>
          <t>Budget</t>
        </is>
      </c>
      <c r="AI4" s="35" t="inlineStr">
        <is>
          <t>Actual</t>
        </is>
      </c>
      <c r="AJ4" s="34" t="inlineStr">
        <is>
          <t>Var $</t>
        </is>
      </c>
      <c r="AK4" s="34" t="inlineStr">
        <is>
          <t>Var %</t>
        </is>
      </c>
      <c r="AL4" s="34" t="inlineStr">
        <is>
          <t>Budget</t>
        </is>
      </c>
      <c r="AM4" s="35" t="inlineStr">
        <is>
          <t>Actual</t>
        </is>
      </c>
      <c r="AN4" s="34" t="inlineStr">
        <is>
          <t>Var $</t>
        </is>
      </c>
      <c r="AO4" s="34" t="inlineStr">
        <is>
          <t>Var %</t>
        </is>
      </c>
      <c r="AP4" s="34" t="inlineStr">
        <is>
          <t>Budget</t>
        </is>
      </c>
      <c r="AQ4" s="35" t="inlineStr">
        <is>
          <t>Actual</t>
        </is>
      </c>
      <c r="AR4" s="34" t="inlineStr">
        <is>
          <t>Var $</t>
        </is>
      </c>
      <c r="AS4" s="34" t="inlineStr">
        <is>
          <t>Var %</t>
        </is>
      </c>
      <c r="AT4" s="34" t="inlineStr">
        <is>
          <t>Budget</t>
        </is>
      </c>
      <c r="AU4" s="35" t="inlineStr">
        <is>
          <t>Actual</t>
        </is>
      </c>
      <c r="AV4" s="34" t="inlineStr">
        <is>
          <t>Var $</t>
        </is>
      </c>
      <c r="AW4" s="34" t="inlineStr">
        <is>
          <t>Var %</t>
        </is>
      </c>
      <c r="AX4" s="36" t="inlineStr">
        <is>
          <t>Budget</t>
        </is>
      </c>
      <c r="AY4" s="37" t="inlineStr">
        <is>
          <t>Actual</t>
        </is>
      </c>
    </row>
    <row r="5">
      <c r="A5" s="3" t="inlineStr">
        <is>
          <t>REVENUE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inlineStr"/>
      <c r="AS5" s="4" t="inlineStr"/>
      <c r="AT5" s="4" t="inlineStr"/>
      <c r="AU5" s="4" t="inlineStr"/>
      <c r="AV5" s="4" t="inlineStr"/>
      <c r="AW5" s="4" t="inlineStr"/>
      <c r="AX5" s="4" t="inlineStr"/>
      <c r="AY5" s="4" t="inlineStr"/>
    </row>
    <row r="6">
      <c r="A6" s="26" t="inlineStr">
        <is>
          <t xml:space="preserve">  Commercial</t>
        </is>
      </c>
      <c r="B6" s="18">
        <f>Assumptions!$B$10*Assumptions!B55*Assumptions!$B$15</f>
        <v/>
      </c>
      <c r="C6" s="38" t="n"/>
      <c r="D6" s="39">
        <f>IF(C6="","",C6-B6)</f>
        <v/>
      </c>
      <c r="E6" s="40">
        <f>IF(C6="","",IF(B6=0,0,(C6-B6)/ABS(B6)))</f>
        <v/>
      </c>
      <c r="F6" s="18">
        <f>Assumptions!$B$10*Assumptions!C55*Assumptions!$B$15</f>
        <v/>
      </c>
      <c r="G6" s="38" t="n"/>
      <c r="H6" s="39">
        <f>IF(G6="","",G6-F6)</f>
        <v/>
      </c>
      <c r="I6" s="40">
        <f>IF(G6="","",IF(F6=0,0,(G6-F6)/ABS(F6)))</f>
        <v/>
      </c>
      <c r="J6" s="18">
        <f>Assumptions!$B$10*Assumptions!D55*Assumptions!$B$15</f>
        <v/>
      </c>
      <c r="K6" s="38" t="n"/>
      <c r="L6" s="39">
        <f>IF(K6="","",K6-J6)</f>
        <v/>
      </c>
      <c r="M6" s="40">
        <f>IF(K6="","",IF(J6=0,0,(K6-J6)/ABS(J6)))</f>
        <v/>
      </c>
      <c r="N6" s="18">
        <f>Assumptions!$B$10*Assumptions!E55*Assumptions!$B$15</f>
        <v/>
      </c>
      <c r="O6" s="38" t="n"/>
      <c r="P6" s="39">
        <f>IF(O6="","",O6-N6)</f>
        <v/>
      </c>
      <c r="Q6" s="40">
        <f>IF(O6="","",IF(N6=0,0,(O6-N6)/ABS(N6)))</f>
        <v/>
      </c>
      <c r="R6" s="18">
        <f>Assumptions!$B$10*Assumptions!F55*Assumptions!$B$15</f>
        <v/>
      </c>
      <c r="S6" s="38" t="n"/>
      <c r="T6" s="39">
        <f>IF(S6="","",S6-R6)</f>
        <v/>
      </c>
      <c r="U6" s="40">
        <f>IF(S6="","",IF(R6=0,0,(S6-R6)/ABS(R6)))</f>
        <v/>
      </c>
      <c r="V6" s="18">
        <f>Assumptions!$B$10*Assumptions!G55*Assumptions!$B$15</f>
        <v/>
      </c>
      <c r="W6" s="38" t="n"/>
      <c r="X6" s="39">
        <f>IF(W6="","",W6-V6)</f>
        <v/>
      </c>
      <c r="Y6" s="40">
        <f>IF(W6="","",IF(V6=0,0,(W6-V6)/ABS(V6)))</f>
        <v/>
      </c>
      <c r="Z6" s="18">
        <f>Assumptions!$B$10*Assumptions!H55*Assumptions!$B$15</f>
        <v/>
      </c>
      <c r="AA6" s="38" t="n"/>
      <c r="AB6" s="39">
        <f>IF(AA6="","",AA6-Z6)</f>
        <v/>
      </c>
      <c r="AC6" s="40">
        <f>IF(AA6="","",IF(Z6=0,0,(AA6-Z6)/ABS(Z6)))</f>
        <v/>
      </c>
      <c r="AD6" s="18">
        <f>Assumptions!$B$10*Assumptions!I55*Assumptions!$B$15</f>
        <v/>
      </c>
      <c r="AE6" s="38" t="n"/>
      <c r="AF6" s="39">
        <f>IF(AE6="","",AE6-AD6)</f>
        <v/>
      </c>
      <c r="AG6" s="40">
        <f>IF(AE6="","",IF(AD6=0,0,(AE6-AD6)/ABS(AD6)))</f>
        <v/>
      </c>
      <c r="AH6" s="18">
        <f>Assumptions!$B$10*Assumptions!J55*Assumptions!$B$15</f>
        <v/>
      </c>
      <c r="AI6" s="38" t="n"/>
      <c r="AJ6" s="39">
        <f>IF(AI6="","",AI6-AH6)</f>
        <v/>
      </c>
      <c r="AK6" s="40">
        <f>IF(AI6="","",IF(AH6=0,0,(AI6-AH6)/ABS(AH6)))</f>
        <v/>
      </c>
      <c r="AL6" s="18">
        <f>Assumptions!$B$10*Assumptions!K55*Assumptions!$B$15</f>
        <v/>
      </c>
      <c r="AM6" s="38" t="n"/>
      <c r="AN6" s="39">
        <f>IF(AM6="","",AM6-AL6)</f>
        <v/>
      </c>
      <c r="AO6" s="40">
        <f>IF(AM6="","",IF(AL6=0,0,(AM6-AL6)/ABS(AL6)))</f>
        <v/>
      </c>
      <c r="AP6" s="18">
        <f>Assumptions!$B$10*Assumptions!L55*Assumptions!$B$15</f>
        <v/>
      </c>
      <c r="AQ6" s="38" t="n"/>
      <c r="AR6" s="39">
        <f>IF(AQ6="","",AQ6-AP6)</f>
        <v/>
      </c>
      <c r="AS6" s="40">
        <f>IF(AQ6="","",IF(AP6=0,0,(AQ6-AP6)/ABS(AP6)))</f>
        <v/>
      </c>
      <c r="AT6" s="18">
        <f>Assumptions!$B$10*Assumptions!M55*Assumptions!$B$15</f>
        <v/>
      </c>
      <c r="AU6" s="38" t="n"/>
      <c r="AV6" s="39">
        <f>IF(AU6="","",AU6-AT6)</f>
        <v/>
      </c>
      <c r="AW6" s="40">
        <f>IF(AU6="","",IF(AT6=0,0,(AU6-AT6)/ABS(AT6)))</f>
        <v/>
      </c>
      <c r="AX6" s="18">
        <f>B6+F6+J6+N6+R6+V6+Z6+AD6+AH6+AL6+AP6+AT6</f>
        <v/>
      </c>
      <c r="AY6" s="38">
        <f>SUM(C6,G6,K6,O6,S6,W6,AA6,AE6,AI6,AM6,AQ6,AU6)</f>
        <v/>
      </c>
    </row>
    <row r="7">
      <c r="A7" s="26" t="inlineStr">
        <is>
          <t xml:space="preserve">  Data Center</t>
        </is>
      </c>
      <c r="B7" s="18">
        <f>Assumptions!$B$10*Assumptions!B55*Assumptions!$B$16</f>
        <v/>
      </c>
      <c r="C7" s="38" t="n"/>
      <c r="D7" s="39">
        <f>IF(C7="","",C7-B7)</f>
        <v/>
      </c>
      <c r="E7" s="40">
        <f>IF(C7="","",IF(B7=0,0,(C7-B7)/ABS(B7)))</f>
        <v/>
      </c>
      <c r="F7" s="18">
        <f>Assumptions!$B$10*Assumptions!C55*Assumptions!$B$16</f>
        <v/>
      </c>
      <c r="G7" s="38" t="n"/>
      <c r="H7" s="39">
        <f>IF(G7="","",G7-F7)</f>
        <v/>
      </c>
      <c r="I7" s="40">
        <f>IF(G7="","",IF(F7=0,0,(G7-F7)/ABS(F7)))</f>
        <v/>
      </c>
      <c r="J7" s="18">
        <f>Assumptions!$B$10*Assumptions!D55*Assumptions!$B$16</f>
        <v/>
      </c>
      <c r="K7" s="38" t="n"/>
      <c r="L7" s="39">
        <f>IF(K7="","",K7-J7)</f>
        <v/>
      </c>
      <c r="M7" s="40">
        <f>IF(K7="","",IF(J7=0,0,(K7-J7)/ABS(J7)))</f>
        <v/>
      </c>
      <c r="N7" s="18">
        <f>Assumptions!$B$10*Assumptions!E55*Assumptions!$B$16</f>
        <v/>
      </c>
      <c r="O7" s="38" t="n"/>
      <c r="P7" s="39">
        <f>IF(O7="","",O7-N7)</f>
        <v/>
      </c>
      <c r="Q7" s="40">
        <f>IF(O7="","",IF(N7=0,0,(O7-N7)/ABS(N7)))</f>
        <v/>
      </c>
      <c r="R7" s="18">
        <f>Assumptions!$B$10*Assumptions!F55*Assumptions!$B$16</f>
        <v/>
      </c>
      <c r="S7" s="38" t="n"/>
      <c r="T7" s="39">
        <f>IF(S7="","",S7-R7)</f>
        <v/>
      </c>
      <c r="U7" s="40">
        <f>IF(S7="","",IF(R7=0,0,(S7-R7)/ABS(R7)))</f>
        <v/>
      </c>
      <c r="V7" s="18">
        <f>Assumptions!$B$10*Assumptions!G55*Assumptions!$B$16</f>
        <v/>
      </c>
      <c r="W7" s="38" t="n"/>
      <c r="X7" s="39">
        <f>IF(W7="","",W7-V7)</f>
        <v/>
      </c>
      <c r="Y7" s="40">
        <f>IF(W7="","",IF(V7=0,0,(W7-V7)/ABS(V7)))</f>
        <v/>
      </c>
      <c r="Z7" s="18">
        <f>Assumptions!$B$10*Assumptions!H55*Assumptions!$B$16</f>
        <v/>
      </c>
      <c r="AA7" s="38" t="n"/>
      <c r="AB7" s="39">
        <f>IF(AA7="","",AA7-Z7)</f>
        <v/>
      </c>
      <c r="AC7" s="40">
        <f>IF(AA7="","",IF(Z7=0,0,(AA7-Z7)/ABS(Z7)))</f>
        <v/>
      </c>
      <c r="AD7" s="18">
        <f>Assumptions!$B$10*Assumptions!I55*Assumptions!$B$16</f>
        <v/>
      </c>
      <c r="AE7" s="38" t="n"/>
      <c r="AF7" s="39">
        <f>IF(AE7="","",AE7-AD7)</f>
        <v/>
      </c>
      <c r="AG7" s="40">
        <f>IF(AE7="","",IF(AD7=0,0,(AE7-AD7)/ABS(AD7)))</f>
        <v/>
      </c>
      <c r="AH7" s="18">
        <f>Assumptions!$B$10*Assumptions!J55*Assumptions!$B$16</f>
        <v/>
      </c>
      <c r="AI7" s="38" t="n"/>
      <c r="AJ7" s="39">
        <f>IF(AI7="","",AI7-AH7)</f>
        <v/>
      </c>
      <c r="AK7" s="40">
        <f>IF(AI7="","",IF(AH7=0,0,(AI7-AH7)/ABS(AH7)))</f>
        <v/>
      </c>
      <c r="AL7" s="18">
        <f>Assumptions!$B$10*Assumptions!K55*Assumptions!$B$16</f>
        <v/>
      </c>
      <c r="AM7" s="38" t="n"/>
      <c r="AN7" s="39">
        <f>IF(AM7="","",AM7-AL7)</f>
        <v/>
      </c>
      <c r="AO7" s="40">
        <f>IF(AM7="","",IF(AL7=0,0,(AM7-AL7)/ABS(AL7)))</f>
        <v/>
      </c>
      <c r="AP7" s="18">
        <f>Assumptions!$B$10*Assumptions!L55*Assumptions!$B$16</f>
        <v/>
      </c>
      <c r="AQ7" s="38" t="n"/>
      <c r="AR7" s="39">
        <f>IF(AQ7="","",AQ7-AP7)</f>
        <v/>
      </c>
      <c r="AS7" s="40">
        <f>IF(AQ7="","",IF(AP7=0,0,(AQ7-AP7)/ABS(AP7)))</f>
        <v/>
      </c>
      <c r="AT7" s="18">
        <f>Assumptions!$B$10*Assumptions!M55*Assumptions!$B$16</f>
        <v/>
      </c>
      <c r="AU7" s="38" t="n"/>
      <c r="AV7" s="39">
        <f>IF(AU7="","",AU7-AT7)</f>
        <v/>
      </c>
      <c r="AW7" s="40">
        <f>IF(AU7="","",IF(AT7=0,0,(AU7-AT7)/ABS(AT7)))</f>
        <v/>
      </c>
      <c r="AX7" s="18">
        <f>B7+F7+J7+N7+R7+V7+Z7+AD7+AH7+AL7+AP7+AT7</f>
        <v/>
      </c>
      <c r="AY7" s="38">
        <f>SUM(C7,G7,K7,O7,S7,W7,AA7,AE7,AI7,AM7,AQ7,AU7)</f>
        <v/>
      </c>
    </row>
    <row r="8">
      <c r="A8" s="26" t="inlineStr">
        <is>
          <t xml:space="preserve">  Residential</t>
        </is>
      </c>
      <c r="B8" s="18">
        <f>Assumptions!$B$10*Assumptions!B55*Assumptions!$B$17</f>
        <v/>
      </c>
      <c r="C8" s="38" t="n"/>
      <c r="D8" s="39">
        <f>IF(C8="","",C8-B8)</f>
        <v/>
      </c>
      <c r="E8" s="40">
        <f>IF(C8="","",IF(B8=0,0,(C8-B8)/ABS(B8)))</f>
        <v/>
      </c>
      <c r="F8" s="18">
        <f>Assumptions!$B$10*Assumptions!C55*Assumptions!$B$17</f>
        <v/>
      </c>
      <c r="G8" s="38" t="n"/>
      <c r="H8" s="39">
        <f>IF(G8="","",G8-F8)</f>
        <v/>
      </c>
      <c r="I8" s="40">
        <f>IF(G8="","",IF(F8=0,0,(G8-F8)/ABS(F8)))</f>
        <v/>
      </c>
      <c r="J8" s="18">
        <f>Assumptions!$B$10*Assumptions!D55*Assumptions!$B$17</f>
        <v/>
      </c>
      <c r="K8" s="38" t="n"/>
      <c r="L8" s="39">
        <f>IF(K8="","",K8-J8)</f>
        <v/>
      </c>
      <c r="M8" s="40">
        <f>IF(K8="","",IF(J8=0,0,(K8-J8)/ABS(J8)))</f>
        <v/>
      </c>
      <c r="N8" s="18">
        <f>Assumptions!$B$10*Assumptions!E55*Assumptions!$B$17</f>
        <v/>
      </c>
      <c r="O8" s="38" t="n"/>
      <c r="P8" s="39">
        <f>IF(O8="","",O8-N8)</f>
        <v/>
      </c>
      <c r="Q8" s="40">
        <f>IF(O8="","",IF(N8=0,0,(O8-N8)/ABS(N8)))</f>
        <v/>
      </c>
      <c r="R8" s="18">
        <f>Assumptions!$B$10*Assumptions!F55*Assumptions!$B$17</f>
        <v/>
      </c>
      <c r="S8" s="38" t="n"/>
      <c r="T8" s="39">
        <f>IF(S8="","",S8-R8)</f>
        <v/>
      </c>
      <c r="U8" s="40">
        <f>IF(S8="","",IF(R8=0,0,(S8-R8)/ABS(R8)))</f>
        <v/>
      </c>
      <c r="V8" s="18">
        <f>Assumptions!$B$10*Assumptions!G55*Assumptions!$B$17</f>
        <v/>
      </c>
      <c r="W8" s="38" t="n"/>
      <c r="X8" s="39">
        <f>IF(W8="","",W8-V8)</f>
        <v/>
      </c>
      <c r="Y8" s="40">
        <f>IF(W8="","",IF(V8=0,0,(W8-V8)/ABS(V8)))</f>
        <v/>
      </c>
      <c r="Z8" s="18">
        <f>Assumptions!$B$10*Assumptions!H55*Assumptions!$B$17</f>
        <v/>
      </c>
      <c r="AA8" s="38" t="n"/>
      <c r="AB8" s="39">
        <f>IF(AA8="","",AA8-Z8)</f>
        <v/>
      </c>
      <c r="AC8" s="40">
        <f>IF(AA8="","",IF(Z8=0,0,(AA8-Z8)/ABS(Z8)))</f>
        <v/>
      </c>
      <c r="AD8" s="18">
        <f>Assumptions!$B$10*Assumptions!I55*Assumptions!$B$17</f>
        <v/>
      </c>
      <c r="AE8" s="38" t="n"/>
      <c r="AF8" s="39">
        <f>IF(AE8="","",AE8-AD8)</f>
        <v/>
      </c>
      <c r="AG8" s="40">
        <f>IF(AE8="","",IF(AD8=0,0,(AE8-AD8)/ABS(AD8)))</f>
        <v/>
      </c>
      <c r="AH8" s="18">
        <f>Assumptions!$B$10*Assumptions!J55*Assumptions!$B$17</f>
        <v/>
      </c>
      <c r="AI8" s="38" t="n"/>
      <c r="AJ8" s="39">
        <f>IF(AI8="","",AI8-AH8)</f>
        <v/>
      </c>
      <c r="AK8" s="40">
        <f>IF(AI8="","",IF(AH8=0,0,(AI8-AH8)/ABS(AH8)))</f>
        <v/>
      </c>
      <c r="AL8" s="18">
        <f>Assumptions!$B$10*Assumptions!K55*Assumptions!$B$17</f>
        <v/>
      </c>
      <c r="AM8" s="38" t="n"/>
      <c r="AN8" s="39">
        <f>IF(AM8="","",AM8-AL8)</f>
        <v/>
      </c>
      <c r="AO8" s="40">
        <f>IF(AM8="","",IF(AL8=0,0,(AM8-AL8)/ABS(AL8)))</f>
        <v/>
      </c>
      <c r="AP8" s="18">
        <f>Assumptions!$B$10*Assumptions!L55*Assumptions!$B$17</f>
        <v/>
      </c>
      <c r="AQ8" s="38" t="n"/>
      <c r="AR8" s="39">
        <f>IF(AQ8="","",AQ8-AP8)</f>
        <v/>
      </c>
      <c r="AS8" s="40">
        <f>IF(AQ8="","",IF(AP8=0,0,(AQ8-AP8)/ABS(AP8)))</f>
        <v/>
      </c>
      <c r="AT8" s="18">
        <f>Assumptions!$B$10*Assumptions!M55*Assumptions!$B$17</f>
        <v/>
      </c>
      <c r="AU8" s="38" t="n"/>
      <c r="AV8" s="39">
        <f>IF(AU8="","",AU8-AT8)</f>
        <v/>
      </c>
      <c r="AW8" s="40">
        <f>IF(AU8="","",IF(AT8=0,0,(AU8-AT8)/ABS(AT8)))</f>
        <v/>
      </c>
      <c r="AX8" s="18">
        <f>B8+F8+J8+N8+R8+V8+Z8+AD8+AH8+AL8+AP8+AT8</f>
        <v/>
      </c>
      <c r="AY8" s="38">
        <f>SUM(C8,G8,K8,O8,S8,W8,AA8,AE8,AI8,AM8,AQ8,AU8)</f>
        <v/>
      </c>
    </row>
    <row r="9">
      <c r="A9" s="26" t="inlineStr">
        <is>
          <t xml:space="preserve">  Service Agreements</t>
        </is>
      </c>
      <c r="B9" s="18">
        <f>Assumptions!$B$10*Assumptions!B55*Assumptions!$B$18</f>
        <v/>
      </c>
      <c r="C9" s="38" t="n"/>
      <c r="D9" s="39">
        <f>IF(C9="","",C9-B9)</f>
        <v/>
      </c>
      <c r="E9" s="40">
        <f>IF(C9="","",IF(B9=0,0,(C9-B9)/ABS(B9)))</f>
        <v/>
      </c>
      <c r="F9" s="18">
        <f>Assumptions!$B$10*Assumptions!C55*Assumptions!$B$18</f>
        <v/>
      </c>
      <c r="G9" s="38" t="n"/>
      <c r="H9" s="39">
        <f>IF(G9="","",G9-F9)</f>
        <v/>
      </c>
      <c r="I9" s="40">
        <f>IF(G9="","",IF(F9=0,0,(G9-F9)/ABS(F9)))</f>
        <v/>
      </c>
      <c r="J9" s="18">
        <f>Assumptions!$B$10*Assumptions!D55*Assumptions!$B$18</f>
        <v/>
      </c>
      <c r="K9" s="38" t="n"/>
      <c r="L9" s="39">
        <f>IF(K9="","",K9-J9)</f>
        <v/>
      </c>
      <c r="M9" s="40">
        <f>IF(K9="","",IF(J9=0,0,(K9-J9)/ABS(J9)))</f>
        <v/>
      </c>
      <c r="N9" s="18">
        <f>Assumptions!$B$10*Assumptions!E55*Assumptions!$B$18</f>
        <v/>
      </c>
      <c r="O9" s="38" t="n"/>
      <c r="P9" s="39">
        <f>IF(O9="","",O9-N9)</f>
        <v/>
      </c>
      <c r="Q9" s="40">
        <f>IF(O9="","",IF(N9=0,0,(O9-N9)/ABS(N9)))</f>
        <v/>
      </c>
      <c r="R9" s="18">
        <f>Assumptions!$B$10*Assumptions!F55*Assumptions!$B$18</f>
        <v/>
      </c>
      <c r="S9" s="38" t="n"/>
      <c r="T9" s="39">
        <f>IF(S9="","",S9-R9)</f>
        <v/>
      </c>
      <c r="U9" s="40">
        <f>IF(S9="","",IF(R9=0,0,(S9-R9)/ABS(R9)))</f>
        <v/>
      </c>
      <c r="V9" s="18">
        <f>Assumptions!$B$10*Assumptions!G55*Assumptions!$B$18</f>
        <v/>
      </c>
      <c r="W9" s="38" t="n"/>
      <c r="X9" s="39">
        <f>IF(W9="","",W9-V9)</f>
        <v/>
      </c>
      <c r="Y9" s="40">
        <f>IF(W9="","",IF(V9=0,0,(W9-V9)/ABS(V9)))</f>
        <v/>
      </c>
      <c r="Z9" s="18">
        <f>Assumptions!$B$10*Assumptions!H55*Assumptions!$B$18</f>
        <v/>
      </c>
      <c r="AA9" s="38" t="n"/>
      <c r="AB9" s="39">
        <f>IF(AA9="","",AA9-Z9)</f>
        <v/>
      </c>
      <c r="AC9" s="40">
        <f>IF(AA9="","",IF(Z9=0,0,(AA9-Z9)/ABS(Z9)))</f>
        <v/>
      </c>
      <c r="AD9" s="18">
        <f>Assumptions!$B$10*Assumptions!I55*Assumptions!$B$18</f>
        <v/>
      </c>
      <c r="AE9" s="38" t="n"/>
      <c r="AF9" s="39">
        <f>IF(AE9="","",AE9-AD9)</f>
        <v/>
      </c>
      <c r="AG9" s="40">
        <f>IF(AE9="","",IF(AD9=0,0,(AE9-AD9)/ABS(AD9)))</f>
        <v/>
      </c>
      <c r="AH9" s="18">
        <f>Assumptions!$B$10*Assumptions!J55*Assumptions!$B$18</f>
        <v/>
      </c>
      <c r="AI9" s="38" t="n"/>
      <c r="AJ9" s="39">
        <f>IF(AI9="","",AI9-AH9)</f>
        <v/>
      </c>
      <c r="AK9" s="40">
        <f>IF(AI9="","",IF(AH9=0,0,(AI9-AH9)/ABS(AH9)))</f>
        <v/>
      </c>
      <c r="AL9" s="18">
        <f>Assumptions!$B$10*Assumptions!K55*Assumptions!$B$18</f>
        <v/>
      </c>
      <c r="AM9" s="38" t="n"/>
      <c r="AN9" s="39">
        <f>IF(AM9="","",AM9-AL9)</f>
        <v/>
      </c>
      <c r="AO9" s="40">
        <f>IF(AM9="","",IF(AL9=0,0,(AM9-AL9)/ABS(AL9)))</f>
        <v/>
      </c>
      <c r="AP9" s="18">
        <f>Assumptions!$B$10*Assumptions!L55*Assumptions!$B$18</f>
        <v/>
      </c>
      <c r="AQ9" s="38" t="n"/>
      <c r="AR9" s="39">
        <f>IF(AQ9="","",AQ9-AP9)</f>
        <v/>
      </c>
      <c r="AS9" s="40">
        <f>IF(AQ9="","",IF(AP9=0,0,(AQ9-AP9)/ABS(AP9)))</f>
        <v/>
      </c>
      <c r="AT9" s="18">
        <f>Assumptions!$B$10*Assumptions!M55*Assumptions!$B$18</f>
        <v/>
      </c>
      <c r="AU9" s="38" t="n"/>
      <c r="AV9" s="39">
        <f>IF(AU9="","",AU9-AT9)</f>
        <v/>
      </c>
      <c r="AW9" s="40">
        <f>IF(AU9="","",IF(AT9=0,0,(AU9-AT9)/ABS(AT9)))</f>
        <v/>
      </c>
      <c r="AX9" s="18">
        <f>B9+F9+J9+N9+R9+V9+Z9+AD9+AH9+AL9+AP9+AT9</f>
        <v/>
      </c>
      <c r="AY9" s="38">
        <f>SUM(C9,G9,K9,O9,S9,W9,AA9,AE9,AI9,AM9,AQ9,AU9)</f>
        <v/>
      </c>
    </row>
    <row r="10">
      <c r="A10" s="17" t="inlineStr">
        <is>
          <t>TOTAL REVENUE</t>
        </is>
      </c>
      <c r="B10" s="14">
        <f>B6+B7+B8+B9</f>
        <v/>
      </c>
      <c r="C10" s="38" t="n"/>
      <c r="D10" s="39">
        <f>IF(C10="","",C10-B10)</f>
        <v/>
      </c>
      <c r="E10" s="40">
        <f>IF(C10="","",IF(B10=0,0,(C10-B10)/ABS(B10)))</f>
        <v/>
      </c>
      <c r="F10" s="14">
        <f>F6+F7+F8+F9</f>
        <v/>
      </c>
      <c r="G10" s="38" t="n"/>
      <c r="H10" s="39">
        <f>IF(G10="","",G10-F10)</f>
        <v/>
      </c>
      <c r="I10" s="40">
        <f>IF(G10="","",IF(F10=0,0,(G10-F10)/ABS(F10)))</f>
        <v/>
      </c>
      <c r="J10" s="14">
        <f>J6+J7+J8+J9</f>
        <v/>
      </c>
      <c r="K10" s="38" t="n"/>
      <c r="L10" s="39">
        <f>IF(K10="","",K10-J10)</f>
        <v/>
      </c>
      <c r="M10" s="40">
        <f>IF(K10="","",IF(J10=0,0,(K10-J10)/ABS(J10)))</f>
        <v/>
      </c>
      <c r="N10" s="14">
        <f>N6+N7+N8+N9</f>
        <v/>
      </c>
      <c r="O10" s="38" t="n"/>
      <c r="P10" s="39">
        <f>IF(O10="","",O10-N10)</f>
        <v/>
      </c>
      <c r="Q10" s="40">
        <f>IF(O10="","",IF(N10=0,0,(O10-N10)/ABS(N10)))</f>
        <v/>
      </c>
      <c r="R10" s="14">
        <f>R6+R7+R8+R9</f>
        <v/>
      </c>
      <c r="S10" s="38" t="n"/>
      <c r="T10" s="39">
        <f>IF(S10="","",S10-R10)</f>
        <v/>
      </c>
      <c r="U10" s="40">
        <f>IF(S10="","",IF(R10=0,0,(S10-R10)/ABS(R10)))</f>
        <v/>
      </c>
      <c r="V10" s="14">
        <f>V6+V7+V8+V9</f>
        <v/>
      </c>
      <c r="W10" s="38" t="n"/>
      <c r="X10" s="39">
        <f>IF(W10="","",W10-V10)</f>
        <v/>
      </c>
      <c r="Y10" s="40">
        <f>IF(W10="","",IF(V10=0,0,(W10-V10)/ABS(V10)))</f>
        <v/>
      </c>
      <c r="Z10" s="14">
        <f>Z6+Z7+Z8+Z9</f>
        <v/>
      </c>
      <c r="AA10" s="38" t="n"/>
      <c r="AB10" s="39">
        <f>IF(AA10="","",AA10-Z10)</f>
        <v/>
      </c>
      <c r="AC10" s="40">
        <f>IF(AA10="","",IF(Z10=0,0,(AA10-Z10)/ABS(Z10)))</f>
        <v/>
      </c>
      <c r="AD10" s="14">
        <f>AD6+AD7+AD8+AD9</f>
        <v/>
      </c>
      <c r="AE10" s="38" t="n"/>
      <c r="AF10" s="39">
        <f>IF(AE10="","",AE10-AD10)</f>
        <v/>
      </c>
      <c r="AG10" s="40">
        <f>IF(AE10="","",IF(AD10=0,0,(AE10-AD10)/ABS(AD10)))</f>
        <v/>
      </c>
      <c r="AH10" s="14">
        <f>AH6+AH7+AH8+AH9</f>
        <v/>
      </c>
      <c r="AI10" s="38" t="n"/>
      <c r="AJ10" s="39">
        <f>IF(AI10="","",AI10-AH10)</f>
        <v/>
      </c>
      <c r="AK10" s="40">
        <f>IF(AI10="","",IF(AH10=0,0,(AI10-AH10)/ABS(AH10)))</f>
        <v/>
      </c>
      <c r="AL10" s="14">
        <f>AL6+AL7+AL8+AL9</f>
        <v/>
      </c>
      <c r="AM10" s="38" t="n"/>
      <c r="AN10" s="39">
        <f>IF(AM10="","",AM10-AL10)</f>
        <v/>
      </c>
      <c r="AO10" s="40">
        <f>IF(AM10="","",IF(AL10=0,0,(AM10-AL10)/ABS(AL10)))</f>
        <v/>
      </c>
      <c r="AP10" s="14">
        <f>AP6+AP7+AP8+AP9</f>
        <v/>
      </c>
      <c r="AQ10" s="38" t="n"/>
      <c r="AR10" s="39">
        <f>IF(AQ10="","",AQ10-AP10)</f>
        <v/>
      </c>
      <c r="AS10" s="40">
        <f>IF(AQ10="","",IF(AP10=0,0,(AQ10-AP10)/ABS(AP10)))</f>
        <v/>
      </c>
      <c r="AT10" s="14">
        <f>AT6+AT7+AT8+AT9</f>
        <v/>
      </c>
      <c r="AU10" s="38" t="n"/>
      <c r="AV10" s="39">
        <f>IF(AU10="","",AU10-AT10)</f>
        <v/>
      </c>
      <c r="AW10" s="40">
        <f>IF(AU10="","",IF(AT10=0,0,(AU10-AT10)/ABS(AT10)))</f>
        <v/>
      </c>
      <c r="AX10" s="14">
        <f>B10+F10+J10+N10+R10+V10+Z10+AD10+AH10+AL10+AP10+AT10</f>
        <v/>
      </c>
      <c r="AY10" s="38">
        <f>SUM(C10,G10,K10,O10,S10,W10,AA10,AE10,AI10,AM10,AQ10,AU10)</f>
        <v/>
      </c>
    </row>
    <row r="11"/>
    <row r="12">
      <c r="A12" s="3" t="inlineStr">
        <is>
          <t>DIRECT JOB COSTS (COGS)</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c r="AC12" s="4" t="inlineStr"/>
      <c r="AD12" s="4" t="inlineStr"/>
      <c r="AE12" s="4" t="inlineStr"/>
      <c r="AF12" s="4" t="inlineStr"/>
      <c r="AG12" s="4" t="inlineStr"/>
      <c r="AH12" s="4" t="inlineStr"/>
      <c r="AI12" s="4" t="inlineStr"/>
      <c r="AJ12" s="4" t="inlineStr"/>
      <c r="AK12" s="4" t="inlineStr"/>
      <c r="AL12" s="4" t="inlineStr"/>
      <c r="AM12" s="4" t="inlineStr"/>
      <c r="AN12" s="4" t="inlineStr"/>
      <c r="AO12" s="4" t="inlineStr"/>
      <c r="AP12" s="4" t="inlineStr"/>
      <c r="AQ12" s="4" t="inlineStr"/>
      <c r="AR12" s="4" t="inlineStr"/>
      <c r="AS12" s="4" t="inlineStr"/>
      <c r="AT12" s="4" t="inlineStr"/>
      <c r="AU12" s="4" t="inlineStr"/>
      <c r="AV12" s="4" t="inlineStr"/>
      <c r="AW12" s="4" t="inlineStr"/>
      <c r="AX12" s="4" t="inlineStr"/>
      <c r="AY12" s="4" t="inlineStr"/>
    </row>
    <row r="13">
      <c r="A13" s="26" t="inlineStr">
        <is>
          <t xml:space="preserve">  Direct Labor</t>
        </is>
      </c>
      <c r="B13" s="18">
        <f>B10*Assumptions!$B$21</f>
        <v/>
      </c>
      <c r="C13" s="38" t="n"/>
      <c r="D13" s="39">
        <f>IF(C13="","",C13-B13)</f>
        <v/>
      </c>
      <c r="E13" s="40">
        <f>IF(C13="","",IF(B13=0,0,(C13-B13)/ABS(B13)))</f>
        <v/>
      </c>
      <c r="F13" s="18">
        <f>F10*Assumptions!$B$21</f>
        <v/>
      </c>
      <c r="G13" s="38" t="n"/>
      <c r="H13" s="39">
        <f>IF(G13="","",G13-F13)</f>
        <v/>
      </c>
      <c r="I13" s="40">
        <f>IF(G13="","",IF(F13=0,0,(G13-F13)/ABS(F13)))</f>
        <v/>
      </c>
      <c r="J13" s="18">
        <f>J10*Assumptions!$B$21</f>
        <v/>
      </c>
      <c r="K13" s="38" t="n"/>
      <c r="L13" s="39">
        <f>IF(K13="","",K13-J13)</f>
        <v/>
      </c>
      <c r="M13" s="40">
        <f>IF(K13="","",IF(J13=0,0,(K13-J13)/ABS(J13)))</f>
        <v/>
      </c>
      <c r="N13" s="18">
        <f>N10*Assumptions!$B$21</f>
        <v/>
      </c>
      <c r="O13" s="38" t="n"/>
      <c r="P13" s="39">
        <f>IF(O13="","",O13-N13)</f>
        <v/>
      </c>
      <c r="Q13" s="40">
        <f>IF(O13="","",IF(N13=0,0,(O13-N13)/ABS(N13)))</f>
        <v/>
      </c>
      <c r="R13" s="18">
        <f>R10*Assumptions!$B$21</f>
        <v/>
      </c>
      <c r="S13" s="38" t="n"/>
      <c r="T13" s="39">
        <f>IF(S13="","",S13-R13)</f>
        <v/>
      </c>
      <c r="U13" s="40">
        <f>IF(S13="","",IF(R13=0,0,(S13-R13)/ABS(R13)))</f>
        <v/>
      </c>
      <c r="V13" s="18">
        <f>V10*Assumptions!$B$21</f>
        <v/>
      </c>
      <c r="W13" s="38" t="n"/>
      <c r="X13" s="39">
        <f>IF(W13="","",W13-V13)</f>
        <v/>
      </c>
      <c r="Y13" s="40">
        <f>IF(W13="","",IF(V13=0,0,(W13-V13)/ABS(V13)))</f>
        <v/>
      </c>
      <c r="Z13" s="18">
        <f>Z10*Assumptions!$B$21</f>
        <v/>
      </c>
      <c r="AA13" s="38" t="n"/>
      <c r="AB13" s="39">
        <f>IF(AA13="","",AA13-Z13)</f>
        <v/>
      </c>
      <c r="AC13" s="40">
        <f>IF(AA13="","",IF(Z13=0,0,(AA13-Z13)/ABS(Z13)))</f>
        <v/>
      </c>
      <c r="AD13" s="18">
        <f>AD10*Assumptions!$B$21</f>
        <v/>
      </c>
      <c r="AE13" s="38" t="n"/>
      <c r="AF13" s="39">
        <f>IF(AE13="","",AE13-AD13)</f>
        <v/>
      </c>
      <c r="AG13" s="40">
        <f>IF(AE13="","",IF(AD13=0,0,(AE13-AD13)/ABS(AD13)))</f>
        <v/>
      </c>
      <c r="AH13" s="18">
        <f>AH10*Assumptions!$B$21</f>
        <v/>
      </c>
      <c r="AI13" s="38" t="n"/>
      <c r="AJ13" s="39">
        <f>IF(AI13="","",AI13-AH13)</f>
        <v/>
      </c>
      <c r="AK13" s="40">
        <f>IF(AI13="","",IF(AH13=0,0,(AI13-AH13)/ABS(AH13)))</f>
        <v/>
      </c>
      <c r="AL13" s="18">
        <f>AL10*Assumptions!$B$21</f>
        <v/>
      </c>
      <c r="AM13" s="38" t="n"/>
      <c r="AN13" s="39">
        <f>IF(AM13="","",AM13-AL13)</f>
        <v/>
      </c>
      <c r="AO13" s="40">
        <f>IF(AM13="","",IF(AL13=0,0,(AM13-AL13)/ABS(AL13)))</f>
        <v/>
      </c>
      <c r="AP13" s="18">
        <f>AP10*Assumptions!$B$21</f>
        <v/>
      </c>
      <c r="AQ13" s="38" t="n"/>
      <c r="AR13" s="39">
        <f>IF(AQ13="","",AQ13-AP13)</f>
        <v/>
      </c>
      <c r="AS13" s="40">
        <f>IF(AQ13="","",IF(AP13=0,0,(AQ13-AP13)/ABS(AP13)))</f>
        <v/>
      </c>
      <c r="AT13" s="18">
        <f>AT10*Assumptions!$B$21</f>
        <v/>
      </c>
      <c r="AU13" s="38" t="n"/>
      <c r="AV13" s="39">
        <f>IF(AU13="","",AU13-AT13)</f>
        <v/>
      </c>
      <c r="AW13" s="40">
        <f>IF(AU13="","",IF(AT13=0,0,(AU13-AT13)/ABS(AT13)))</f>
        <v/>
      </c>
      <c r="AX13" s="18">
        <f>B13+F13+J13+N13+R13+V13+Z13+AD13+AH13+AL13+AP13+AT13</f>
        <v/>
      </c>
      <c r="AY13" s="38">
        <f>SUM(C13,G13,K13,O13,S13,W13,AA13,AE13,AI13,AM13,AQ13,AU13)</f>
        <v/>
      </c>
    </row>
    <row r="14">
      <c r="A14" s="26" t="inlineStr">
        <is>
          <t xml:space="preserve">  Materials</t>
        </is>
      </c>
      <c r="B14" s="18">
        <f>B10*Assumptions!$B$22</f>
        <v/>
      </c>
      <c r="C14" s="38" t="n"/>
      <c r="D14" s="39">
        <f>IF(C14="","",C14-B14)</f>
        <v/>
      </c>
      <c r="E14" s="40">
        <f>IF(C14="","",IF(B14=0,0,(C14-B14)/ABS(B14)))</f>
        <v/>
      </c>
      <c r="F14" s="18">
        <f>F10*Assumptions!$B$22</f>
        <v/>
      </c>
      <c r="G14" s="38" t="n"/>
      <c r="H14" s="39">
        <f>IF(G14="","",G14-F14)</f>
        <v/>
      </c>
      <c r="I14" s="40">
        <f>IF(G14="","",IF(F14=0,0,(G14-F14)/ABS(F14)))</f>
        <v/>
      </c>
      <c r="J14" s="18">
        <f>J10*Assumptions!$B$22</f>
        <v/>
      </c>
      <c r="K14" s="38" t="n"/>
      <c r="L14" s="39">
        <f>IF(K14="","",K14-J14)</f>
        <v/>
      </c>
      <c r="M14" s="40">
        <f>IF(K14="","",IF(J14=0,0,(K14-J14)/ABS(J14)))</f>
        <v/>
      </c>
      <c r="N14" s="18">
        <f>N10*Assumptions!$B$22</f>
        <v/>
      </c>
      <c r="O14" s="38" t="n"/>
      <c r="P14" s="39">
        <f>IF(O14="","",O14-N14)</f>
        <v/>
      </c>
      <c r="Q14" s="40">
        <f>IF(O14="","",IF(N14=0,0,(O14-N14)/ABS(N14)))</f>
        <v/>
      </c>
      <c r="R14" s="18">
        <f>R10*Assumptions!$B$22</f>
        <v/>
      </c>
      <c r="S14" s="38" t="n"/>
      <c r="T14" s="39">
        <f>IF(S14="","",S14-R14)</f>
        <v/>
      </c>
      <c r="U14" s="40">
        <f>IF(S14="","",IF(R14=0,0,(S14-R14)/ABS(R14)))</f>
        <v/>
      </c>
      <c r="V14" s="18">
        <f>V10*Assumptions!$B$22</f>
        <v/>
      </c>
      <c r="W14" s="38" t="n"/>
      <c r="X14" s="39">
        <f>IF(W14="","",W14-V14)</f>
        <v/>
      </c>
      <c r="Y14" s="40">
        <f>IF(W14="","",IF(V14=0,0,(W14-V14)/ABS(V14)))</f>
        <v/>
      </c>
      <c r="Z14" s="18">
        <f>Z10*Assumptions!$B$22</f>
        <v/>
      </c>
      <c r="AA14" s="38" t="n"/>
      <c r="AB14" s="39">
        <f>IF(AA14="","",AA14-Z14)</f>
        <v/>
      </c>
      <c r="AC14" s="40">
        <f>IF(AA14="","",IF(Z14=0,0,(AA14-Z14)/ABS(Z14)))</f>
        <v/>
      </c>
      <c r="AD14" s="18">
        <f>AD10*Assumptions!$B$22</f>
        <v/>
      </c>
      <c r="AE14" s="38" t="n"/>
      <c r="AF14" s="39">
        <f>IF(AE14="","",AE14-AD14)</f>
        <v/>
      </c>
      <c r="AG14" s="40">
        <f>IF(AE14="","",IF(AD14=0,0,(AE14-AD14)/ABS(AD14)))</f>
        <v/>
      </c>
      <c r="AH14" s="18">
        <f>AH10*Assumptions!$B$22</f>
        <v/>
      </c>
      <c r="AI14" s="38" t="n"/>
      <c r="AJ14" s="39">
        <f>IF(AI14="","",AI14-AH14)</f>
        <v/>
      </c>
      <c r="AK14" s="40">
        <f>IF(AI14="","",IF(AH14=0,0,(AI14-AH14)/ABS(AH14)))</f>
        <v/>
      </c>
      <c r="AL14" s="18">
        <f>AL10*Assumptions!$B$22</f>
        <v/>
      </c>
      <c r="AM14" s="38" t="n"/>
      <c r="AN14" s="39">
        <f>IF(AM14="","",AM14-AL14)</f>
        <v/>
      </c>
      <c r="AO14" s="40">
        <f>IF(AM14="","",IF(AL14=0,0,(AM14-AL14)/ABS(AL14)))</f>
        <v/>
      </c>
      <c r="AP14" s="18">
        <f>AP10*Assumptions!$B$22</f>
        <v/>
      </c>
      <c r="AQ14" s="38" t="n"/>
      <c r="AR14" s="39">
        <f>IF(AQ14="","",AQ14-AP14)</f>
        <v/>
      </c>
      <c r="AS14" s="40">
        <f>IF(AQ14="","",IF(AP14=0,0,(AQ14-AP14)/ABS(AP14)))</f>
        <v/>
      </c>
      <c r="AT14" s="18">
        <f>AT10*Assumptions!$B$22</f>
        <v/>
      </c>
      <c r="AU14" s="38" t="n"/>
      <c r="AV14" s="39">
        <f>IF(AU14="","",AU14-AT14)</f>
        <v/>
      </c>
      <c r="AW14" s="40">
        <f>IF(AU14="","",IF(AT14=0,0,(AU14-AT14)/ABS(AT14)))</f>
        <v/>
      </c>
      <c r="AX14" s="18">
        <f>B14+F14+J14+N14+R14+V14+Z14+AD14+AH14+AL14+AP14+AT14</f>
        <v/>
      </c>
      <c r="AY14" s="38">
        <f>SUM(C14,G14,K14,O14,S14,W14,AA14,AE14,AI14,AM14,AQ14,AU14)</f>
        <v/>
      </c>
    </row>
    <row r="15">
      <c r="A15" s="26" t="inlineStr">
        <is>
          <t xml:space="preserve">  Subcontractors</t>
        </is>
      </c>
      <c r="B15" s="18">
        <f>B10*Assumptions!$B$23</f>
        <v/>
      </c>
      <c r="C15" s="38" t="n"/>
      <c r="D15" s="39">
        <f>IF(C15="","",C15-B15)</f>
        <v/>
      </c>
      <c r="E15" s="40">
        <f>IF(C15="","",IF(B15=0,0,(C15-B15)/ABS(B15)))</f>
        <v/>
      </c>
      <c r="F15" s="18">
        <f>F10*Assumptions!$B$23</f>
        <v/>
      </c>
      <c r="G15" s="38" t="n"/>
      <c r="H15" s="39">
        <f>IF(G15="","",G15-F15)</f>
        <v/>
      </c>
      <c r="I15" s="40">
        <f>IF(G15="","",IF(F15=0,0,(G15-F15)/ABS(F15)))</f>
        <v/>
      </c>
      <c r="J15" s="18">
        <f>J10*Assumptions!$B$23</f>
        <v/>
      </c>
      <c r="K15" s="38" t="n"/>
      <c r="L15" s="39">
        <f>IF(K15="","",K15-J15)</f>
        <v/>
      </c>
      <c r="M15" s="40">
        <f>IF(K15="","",IF(J15=0,0,(K15-J15)/ABS(J15)))</f>
        <v/>
      </c>
      <c r="N15" s="18">
        <f>N10*Assumptions!$B$23</f>
        <v/>
      </c>
      <c r="O15" s="38" t="n"/>
      <c r="P15" s="39">
        <f>IF(O15="","",O15-N15)</f>
        <v/>
      </c>
      <c r="Q15" s="40">
        <f>IF(O15="","",IF(N15=0,0,(O15-N15)/ABS(N15)))</f>
        <v/>
      </c>
      <c r="R15" s="18">
        <f>R10*Assumptions!$B$23</f>
        <v/>
      </c>
      <c r="S15" s="38" t="n"/>
      <c r="T15" s="39">
        <f>IF(S15="","",S15-R15)</f>
        <v/>
      </c>
      <c r="U15" s="40">
        <f>IF(S15="","",IF(R15=0,0,(S15-R15)/ABS(R15)))</f>
        <v/>
      </c>
      <c r="V15" s="18">
        <f>V10*Assumptions!$B$23</f>
        <v/>
      </c>
      <c r="W15" s="38" t="n"/>
      <c r="X15" s="39">
        <f>IF(W15="","",W15-V15)</f>
        <v/>
      </c>
      <c r="Y15" s="40">
        <f>IF(W15="","",IF(V15=0,0,(W15-V15)/ABS(V15)))</f>
        <v/>
      </c>
      <c r="Z15" s="18">
        <f>Z10*Assumptions!$B$23</f>
        <v/>
      </c>
      <c r="AA15" s="38" t="n"/>
      <c r="AB15" s="39">
        <f>IF(AA15="","",AA15-Z15)</f>
        <v/>
      </c>
      <c r="AC15" s="40">
        <f>IF(AA15="","",IF(Z15=0,0,(AA15-Z15)/ABS(Z15)))</f>
        <v/>
      </c>
      <c r="AD15" s="18">
        <f>AD10*Assumptions!$B$23</f>
        <v/>
      </c>
      <c r="AE15" s="38" t="n"/>
      <c r="AF15" s="39">
        <f>IF(AE15="","",AE15-AD15)</f>
        <v/>
      </c>
      <c r="AG15" s="40">
        <f>IF(AE15="","",IF(AD15=0,0,(AE15-AD15)/ABS(AD15)))</f>
        <v/>
      </c>
      <c r="AH15" s="18">
        <f>AH10*Assumptions!$B$23</f>
        <v/>
      </c>
      <c r="AI15" s="38" t="n"/>
      <c r="AJ15" s="39">
        <f>IF(AI15="","",AI15-AH15)</f>
        <v/>
      </c>
      <c r="AK15" s="40">
        <f>IF(AI15="","",IF(AH15=0,0,(AI15-AH15)/ABS(AH15)))</f>
        <v/>
      </c>
      <c r="AL15" s="18">
        <f>AL10*Assumptions!$B$23</f>
        <v/>
      </c>
      <c r="AM15" s="38" t="n"/>
      <c r="AN15" s="39">
        <f>IF(AM15="","",AM15-AL15)</f>
        <v/>
      </c>
      <c r="AO15" s="40">
        <f>IF(AM15="","",IF(AL15=0,0,(AM15-AL15)/ABS(AL15)))</f>
        <v/>
      </c>
      <c r="AP15" s="18">
        <f>AP10*Assumptions!$B$23</f>
        <v/>
      </c>
      <c r="AQ15" s="38" t="n"/>
      <c r="AR15" s="39">
        <f>IF(AQ15="","",AQ15-AP15)</f>
        <v/>
      </c>
      <c r="AS15" s="40">
        <f>IF(AQ15="","",IF(AP15=0,0,(AQ15-AP15)/ABS(AP15)))</f>
        <v/>
      </c>
      <c r="AT15" s="18">
        <f>AT10*Assumptions!$B$23</f>
        <v/>
      </c>
      <c r="AU15" s="38" t="n"/>
      <c r="AV15" s="39">
        <f>IF(AU15="","",AU15-AT15)</f>
        <v/>
      </c>
      <c r="AW15" s="40">
        <f>IF(AU15="","",IF(AT15=0,0,(AU15-AT15)/ABS(AT15)))</f>
        <v/>
      </c>
      <c r="AX15" s="18">
        <f>B15+F15+J15+N15+R15+V15+Z15+AD15+AH15+AL15+AP15+AT15</f>
        <v/>
      </c>
      <c r="AY15" s="38">
        <f>SUM(C15,G15,K15,O15,S15,W15,AA15,AE15,AI15,AM15,AQ15,AU15)</f>
        <v/>
      </c>
    </row>
    <row r="16">
      <c r="A16" s="26" t="inlineStr">
        <is>
          <t xml:space="preserve">  Equipment</t>
        </is>
      </c>
      <c r="B16" s="18">
        <f>B10*Assumptions!$B$24</f>
        <v/>
      </c>
      <c r="C16" s="38" t="n"/>
      <c r="D16" s="39">
        <f>IF(C16="","",C16-B16)</f>
        <v/>
      </c>
      <c r="E16" s="40">
        <f>IF(C16="","",IF(B16=0,0,(C16-B16)/ABS(B16)))</f>
        <v/>
      </c>
      <c r="F16" s="18">
        <f>F10*Assumptions!$B$24</f>
        <v/>
      </c>
      <c r="G16" s="38" t="n"/>
      <c r="H16" s="39">
        <f>IF(G16="","",G16-F16)</f>
        <v/>
      </c>
      <c r="I16" s="40">
        <f>IF(G16="","",IF(F16=0,0,(G16-F16)/ABS(F16)))</f>
        <v/>
      </c>
      <c r="J16" s="18">
        <f>J10*Assumptions!$B$24</f>
        <v/>
      </c>
      <c r="K16" s="38" t="n"/>
      <c r="L16" s="39">
        <f>IF(K16="","",K16-J16)</f>
        <v/>
      </c>
      <c r="M16" s="40">
        <f>IF(K16="","",IF(J16=0,0,(K16-J16)/ABS(J16)))</f>
        <v/>
      </c>
      <c r="N16" s="18">
        <f>N10*Assumptions!$B$24</f>
        <v/>
      </c>
      <c r="O16" s="38" t="n"/>
      <c r="P16" s="39">
        <f>IF(O16="","",O16-N16)</f>
        <v/>
      </c>
      <c r="Q16" s="40">
        <f>IF(O16="","",IF(N16=0,0,(O16-N16)/ABS(N16)))</f>
        <v/>
      </c>
      <c r="R16" s="18">
        <f>R10*Assumptions!$B$24</f>
        <v/>
      </c>
      <c r="S16" s="38" t="n"/>
      <c r="T16" s="39">
        <f>IF(S16="","",S16-R16)</f>
        <v/>
      </c>
      <c r="U16" s="40">
        <f>IF(S16="","",IF(R16=0,0,(S16-R16)/ABS(R16)))</f>
        <v/>
      </c>
      <c r="V16" s="18">
        <f>V10*Assumptions!$B$24</f>
        <v/>
      </c>
      <c r="W16" s="38" t="n"/>
      <c r="X16" s="39">
        <f>IF(W16="","",W16-V16)</f>
        <v/>
      </c>
      <c r="Y16" s="40">
        <f>IF(W16="","",IF(V16=0,0,(W16-V16)/ABS(V16)))</f>
        <v/>
      </c>
      <c r="Z16" s="18">
        <f>Z10*Assumptions!$B$24</f>
        <v/>
      </c>
      <c r="AA16" s="38" t="n"/>
      <c r="AB16" s="39">
        <f>IF(AA16="","",AA16-Z16)</f>
        <v/>
      </c>
      <c r="AC16" s="40">
        <f>IF(AA16="","",IF(Z16=0,0,(AA16-Z16)/ABS(Z16)))</f>
        <v/>
      </c>
      <c r="AD16" s="18">
        <f>AD10*Assumptions!$B$24</f>
        <v/>
      </c>
      <c r="AE16" s="38" t="n"/>
      <c r="AF16" s="39">
        <f>IF(AE16="","",AE16-AD16)</f>
        <v/>
      </c>
      <c r="AG16" s="40">
        <f>IF(AE16="","",IF(AD16=0,0,(AE16-AD16)/ABS(AD16)))</f>
        <v/>
      </c>
      <c r="AH16" s="18">
        <f>AH10*Assumptions!$B$24</f>
        <v/>
      </c>
      <c r="AI16" s="38" t="n"/>
      <c r="AJ16" s="39">
        <f>IF(AI16="","",AI16-AH16)</f>
        <v/>
      </c>
      <c r="AK16" s="40">
        <f>IF(AI16="","",IF(AH16=0,0,(AI16-AH16)/ABS(AH16)))</f>
        <v/>
      </c>
      <c r="AL16" s="18">
        <f>AL10*Assumptions!$B$24</f>
        <v/>
      </c>
      <c r="AM16" s="38" t="n"/>
      <c r="AN16" s="39">
        <f>IF(AM16="","",AM16-AL16)</f>
        <v/>
      </c>
      <c r="AO16" s="40">
        <f>IF(AM16="","",IF(AL16=0,0,(AM16-AL16)/ABS(AL16)))</f>
        <v/>
      </c>
      <c r="AP16" s="18">
        <f>AP10*Assumptions!$B$24</f>
        <v/>
      </c>
      <c r="AQ16" s="38" t="n"/>
      <c r="AR16" s="39">
        <f>IF(AQ16="","",AQ16-AP16)</f>
        <v/>
      </c>
      <c r="AS16" s="40">
        <f>IF(AQ16="","",IF(AP16=0,0,(AQ16-AP16)/ABS(AP16)))</f>
        <v/>
      </c>
      <c r="AT16" s="18">
        <f>AT10*Assumptions!$B$24</f>
        <v/>
      </c>
      <c r="AU16" s="38" t="n"/>
      <c r="AV16" s="39">
        <f>IF(AU16="","",AU16-AT16)</f>
        <v/>
      </c>
      <c r="AW16" s="40">
        <f>IF(AU16="","",IF(AT16=0,0,(AU16-AT16)/ABS(AT16)))</f>
        <v/>
      </c>
      <c r="AX16" s="18">
        <f>B16+F16+J16+N16+R16+V16+Z16+AD16+AH16+AL16+AP16+AT16</f>
        <v/>
      </c>
      <c r="AY16" s="38">
        <f>SUM(C16,G16,K16,O16,S16,W16,AA16,AE16,AI16,AM16,AQ16,AU16)</f>
        <v/>
      </c>
    </row>
    <row r="17">
      <c r="A17" s="17" t="inlineStr">
        <is>
          <t>TOTAL DIRECT COSTS (COGS)</t>
        </is>
      </c>
      <c r="B17" s="14">
        <f>B13+B14+B15+B16</f>
        <v/>
      </c>
      <c r="C17" s="38" t="n"/>
      <c r="D17" s="39">
        <f>IF(C17="","",C17-B17)</f>
        <v/>
      </c>
      <c r="E17" s="40">
        <f>IF(C17="","",IF(B17=0,0,(C17-B17)/ABS(B17)))</f>
        <v/>
      </c>
      <c r="F17" s="14">
        <f>F13+F14+F15+F16</f>
        <v/>
      </c>
      <c r="G17" s="38" t="n"/>
      <c r="H17" s="39">
        <f>IF(G17="","",G17-F17)</f>
        <v/>
      </c>
      <c r="I17" s="40">
        <f>IF(G17="","",IF(F17=0,0,(G17-F17)/ABS(F17)))</f>
        <v/>
      </c>
      <c r="J17" s="14">
        <f>J13+J14+J15+J16</f>
        <v/>
      </c>
      <c r="K17" s="38" t="n"/>
      <c r="L17" s="39">
        <f>IF(K17="","",K17-J17)</f>
        <v/>
      </c>
      <c r="M17" s="40">
        <f>IF(K17="","",IF(J17=0,0,(K17-J17)/ABS(J17)))</f>
        <v/>
      </c>
      <c r="N17" s="14">
        <f>N13+N14+N15+N16</f>
        <v/>
      </c>
      <c r="O17" s="38" t="n"/>
      <c r="P17" s="39">
        <f>IF(O17="","",O17-N17)</f>
        <v/>
      </c>
      <c r="Q17" s="40">
        <f>IF(O17="","",IF(N17=0,0,(O17-N17)/ABS(N17)))</f>
        <v/>
      </c>
      <c r="R17" s="14">
        <f>R13+R14+R15+R16</f>
        <v/>
      </c>
      <c r="S17" s="38" t="n"/>
      <c r="T17" s="39">
        <f>IF(S17="","",S17-R17)</f>
        <v/>
      </c>
      <c r="U17" s="40">
        <f>IF(S17="","",IF(R17=0,0,(S17-R17)/ABS(R17)))</f>
        <v/>
      </c>
      <c r="V17" s="14">
        <f>V13+V14+V15+V16</f>
        <v/>
      </c>
      <c r="W17" s="38" t="n"/>
      <c r="X17" s="39">
        <f>IF(W17="","",W17-V17)</f>
        <v/>
      </c>
      <c r="Y17" s="40">
        <f>IF(W17="","",IF(V17=0,0,(W17-V17)/ABS(V17)))</f>
        <v/>
      </c>
      <c r="Z17" s="14">
        <f>Z13+Z14+Z15+Z16</f>
        <v/>
      </c>
      <c r="AA17" s="38" t="n"/>
      <c r="AB17" s="39">
        <f>IF(AA17="","",AA17-Z17)</f>
        <v/>
      </c>
      <c r="AC17" s="40">
        <f>IF(AA17="","",IF(Z17=0,0,(AA17-Z17)/ABS(Z17)))</f>
        <v/>
      </c>
      <c r="AD17" s="14">
        <f>AD13+AD14+AD15+AD16</f>
        <v/>
      </c>
      <c r="AE17" s="38" t="n"/>
      <c r="AF17" s="39">
        <f>IF(AE17="","",AE17-AD17)</f>
        <v/>
      </c>
      <c r="AG17" s="40">
        <f>IF(AE17="","",IF(AD17=0,0,(AE17-AD17)/ABS(AD17)))</f>
        <v/>
      </c>
      <c r="AH17" s="14">
        <f>AH13+AH14+AH15+AH16</f>
        <v/>
      </c>
      <c r="AI17" s="38" t="n"/>
      <c r="AJ17" s="39">
        <f>IF(AI17="","",AI17-AH17)</f>
        <v/>
      </c>
      <c r="AK17" s="40">
        <f>IF(AI17="","",IF(AH17=0,0,(AI17-AH17)/ABS(AH17)))</f>
        <v/>
      </c>
      <c r="AL17" s="14">
        <f>AL13+AL14+AL15+AL16</f>
        <v/>
      </c>
      <c r="AM17" s="38" t="n"/>
      <c r="AN17" s="39">
        <f>IF(AM17="","",AM17-AL17)</f>
        <v/>
      </c>
      <c r="AO17" s="40">
        <f>IF(AM17="","",IF(AL17=0,0,(AM17-AL17)/ABS(AL17)))</f>
        <v/>
      </c>
      <c r="AP17" s="14">
        <f>AP13+AP14+AP15+AP16</f>
        <v/>
      </c>
      <c r="AQ17" s="38" t="n"/>
      <c r="AR17" s="39">
        <f>IF(AQ17="","",AQ17-AP17)</f>
        <v/>
      </c>
      <c r="AS17" s="40">
        <f>IF(AQ17="","",IF(AP17=0,0,(AQ17-AP17)/ABS(AP17)))</f>
        <v/>
      </c>
      <c r="AT17" s="14">
        <f>AT13+AT14+AT15+AT16</f>
        <v/>
      </c>
      <c r="AU17" s="38" t="n"/>
      <c r="AV17" s="39">
        <f>IF(AU17="","",AU17-AT17)</f>
        <v/>
      </c>
      <c r="AW17" s="40">
        <f>IF(AU17="","",IF(AT17=0,0,(AU17-AT17)/ABS(AT17)))</f>
        <v/>
      </c>
      <c r="AX17" s="14">
        <f>B17+F17+J17+N17+R17+V17+Z17+AD17+AH17+AL17+AP17+AT17</f>
        <v/>
      </c>
      <c r="AY17" s="38">
        <f>SUM(C17,G17,K17,O17,S17,W17,AA17,AE17,AI17,AM17,AQ17,AU17)</f>
        <v/>
      </c>
    </row>
    <row r="18"/>
    <row r="19">
      <c r="A19" s="17" t="inlineStr">
        <is>
          <t>PROFIT AFTER DIRECT COSTS (GROSS PROFIT)</t>
        </is>
      </c>
      <c r="B19" s="14">
        <f>B10-B17</f>
        <v/>
      </c>
      <c r="C19" s="38" t="n"/>
      <c r="D19" s="39">
        <f>IF(C19="","",C19-B19)</f>
        <v/>
      </c>
      <c r="E19" s="40">
        <f>IF(C19="","",IF(B19=0,0,(C19-B19)/ABS(B19)))</f>
        <v/>
      </c>
      <c r="F19" s="14">
        <f>F10-F17</f>
        <v/>
      </c>
      <c r="G19" s="38" t="n"/>
      <c r="H19" s="39">
        <f>IF(G19="","",G19-F19)</f>
        <v/>
      </c>
      <c r="I19" s="40">
        <f>IF(G19="","",IF(F19=0,0,(G19-F19)/ABS(F19)))</f>
        <v/>
      </c>
      <c r="J19" s="14">
        <f>J10-J17</f>
        <v/>
      </c>
      <c r="K19" s="38" t="n"/>
      <c r="L19" s="39">
        <f>IF(K19="","",K19-J19)</f>
        <v/>
      </c>
      <c r="M19" s="40">
        <f>IF(K19="","",IF(J19=0,0,(K19-J19)/ABS(J19)))</f>
        <v/>
      </c>
      <c r="N19" s="14">
        <f>N10-N17</f>
        <v/>
      </c>
      <c r="O19" s="38" t="n"/>
      <c r="P19" s="39">
        <f>IF(O19="","",O19-N19)</f>
        <v/>
      </c>
      <c r="Q19" s="40">
        <f>IF(O19="","",IF(N19=0,0,(O19-N19)/ABS(N19)))</f>
        <v/>
      </c>
      <c r="R19" s="14">
        <f>R10-R17</f>
        <v/>
      </c>
      <c r="S19" s="38" t="n"/>
      <c r="T19" s="39">
        <f>IF(S19="","",S19-R19)</f>
        <v/>
      </c>
      <c r="U19" s="40">
        <f>IF(S19="","",IF(R19=0,0,(S19-R19)/ABS(R19)))</f>
        <v/>
      </c>
      <c r="V19" s="14">
        <f>V10-V17</f>
        <v/>
      </c>
      <c r="W19" s="38" t="n"/>
      <c r="X19" s="39">
        <f>IF(W19="","",W19-V19)</f>
        <v/>
      </c>
      <c r="Y19" s="40">
        <f>IF(W19="","",IF(V19=0,0,(W19-V19)/ABS(V19)))</f>
        <v/>
      </c>
      <c r="Z19" s="14">
        <f>Z10-Z17</f>
        <v/>
      </c>
      <c r="AA19" s="38" t="n"/>
      <c r="AB19" s="39">
        <f>IF(AA19="","",AA19-Z19)</f>
        <v/>
      </c>
      <c r="AC19" s="40">
        <f>IF(AA19="","",IF(Z19=0,0,(AA19-Z19)/ABS(Z19)))</f>
        <v/>
      </c>
      <c r="AD19" s="14">
        <f>AD10-AD17</f>
        <v/>
      </c>
      <c r="AE19" s="38" t="n"/>
      <c r="AF19" s="39">
        <f>IF(AE19="","",AE19-AD19)</f>
        <v/>
      </c>
      <c r="AG19" s="40">
        <f>IF(AE19="","",IF(AD19=0,0,(AE19-AD19)/ABS(AD19)))</f>
        <v/>
      </c>
      <c r="AH19" s="14">
        <f>AH10-AH17</f>
        <v/>
      </c>
      <c r="AI19" s="38" t="n"/>
      <c r="AJ19" s="39">
        <f>IF(AI19="","",AI19-AH19)</f>
        <v/>
      </c>
      <c r="AK19" s="40">
        <f>IF(AI19="","",IF(AH19=0,0,(AI19-AH19)/ABS(AH19)))</f>
        <v/>
      </c>
      <c r="AL19" s="14">
        <f>AL10-AL17</f>
        <v/>
      </c>
      <c r="AM19" s="38" t="n"/>
      <c r="AN19" s="39">
        <f>IF(AM19="","",AM19-AL19)</f>
        <v/>
      </c>
      <c r="AO19" s="40">
        <f>IF(AM19="","",IF(AL19=0,0,(AM19-AL19)/ABS(AL19)))</f>
        <v/>
      </c>
      <c r="AP19" s="14">
        <f>AP10-AP17</f>
        <v/>
      </c>
      <c r="AQ19" s="38" t="n"/>
      <c r="AR19" s="39">
        <f>IF(AQ19="","",AQ19-AP19)</f>
        <v/>
      </c>
      <c r="AS19" s="40">
        <f>IF(AQ19="","",IF(AP19=0,0,(AQ19-AP19)/ABS(AP19)))</f>
        <v/>
      </c>
      <c r="AT19" s="14">
        <f>AT10-AT17</f>
        <v/>
      </c>
      <c r="AU19" s="38" t="n"/>
      <c r="AV19" s="39">
        <f>IF(AU19="","",AU19-AT19)</f>
        <v/>
      </c>
      <c r="AW19" s="40">
        <f>IF(AU19="","",IF(AT19=0,0,(AU19-AT19)/ABS(AT19)))</f>
        <v/>
      </c>
      <c r="AX19" s="14">
        <f>B19+F19+J19+N19+R19+V19+Z19+AD19+AH19+AL19+AP19+AT19</f>
        <v/>
      </c>
      <c r="AY19" s="38">
        <f>SUM(C19,G19,K19,O19,S19,W19,AA19,AE19,AI19,AM19,AQ19,AU19)</f>
        <v/>
      </c>
    </row>
    <row r="20">
      <c r="A20" s="26" t="inlineStr">
        <is>
          <t xml:space="preserve">  Profit Margin % (Gross Margin)</t>
        </is>
      </c>
      <c r="B20" s="20">
        <f>IF(B10=0,0,B19/B10)</f>
        <v/>
      </c>
      <c r="C20" s="41" t="n"/>
      <c r="D20" s="40">
        <f>IF(C20="","",C20-B20)</f>
        <v/>
      </c>
      <c r="E20" s="40">
        <f>IF(C20="","",IF(B20=0,0,(C20-B20)/ABS(B20)))</f>
        <v/>
      </c>
      <c r="F20" s="20">
        <f>IF(F10=0,0,F19/F10)</f>
        <v/>
      </c>
      <c r="G20" s="41" t="n"/>
      <c r="H20" s="40">
        <f>IF(G20="","",G20-F20)</f>
        <v/>
      </c>
      <c r="I20" s="40">
        <f>IF(G20="","",IF(F20=0,0,(G20-F20)/ABS(F20)))</f>
        <v/>
      </c>
      <c r="J20" s="20">
        <f>IF(J10=0,0,J19/J10)</f>
        <v/>
      </c>
      <c r="K20" s="41" t="n"/>
      <c r="L20" s="40">
        <f>IF(K20="","",K20-J20)</f>
        <v/>
      </c>
      <c r="M20" s="40">
        <f>IF(K20="","",IF(J20=0,0,(K20-J20)/ABS(J20)))</f>
        <v/>
      </c>
      <c r="N20" s="20">
        <f>IF(N10=0,0,N19/N10)</f>
        <v/>
      </c>
      <c r="O20" s="41" t="n"/>
      <c r="P20" s="40">
        <f>IF(O20="","",O20-N20)</f>
        <v/>
      </c>
      <c r="Q20" s="40">
        <f>IF(O20="","",IF(N20=0,0,(O20-N20)/ABS(N20)))</f>
        <v/>
      </c>
      <c r="R20" s="20">
        <f>IF(R10=0,0,R19/R10)</f>
        <v/>
      </c>
      <c r="S20" s="41" t="n"/>
      <c r="T20" s="40">
        <f>IF(S20="","",S20-R20)</f>
        <v/>
      </c>
      <c r="U20" s="40">
        <f>IF(S20="","",IF(R20=0,0,(S20-R20)/ABS(R20)))</f>
        <v/>
      </c>
      <c r="V20" s="20">
        <f>IF(V10=0,0,V19/V10)</f>
        <v/>
      </c>
      <c r="W20" s="41" t="n"/>
      <c r="X20" s="40">
        <f>IF(W20="","",W20-V20)</f>
        <v/>
      </c>
      <c r="Y20" s="40">
        <f>IF(W20="","",IF(V20=0,0,(W20-V20)/ABS(V20)))</f>
        <v/>
      </c>
      <c r="Z20" s="20">
        <f>IF(Z10=0,0,Z19/Z10)</f>
        <v/>
      </c>
      <c r="AA20" s="41" t="n"/>
      <c r="AB20" s="40">
        <f>IF(AA20="","",AA20-Z20)</f>
        <v/>
      </c>
      <c r="AC20" s="40">
        <f>IF(AA20="","",IF(Z20=0,0,(AA20-Z20)/ABS(Z20)))</f>
        <v/>
      </c>
      <c r="AD20" s="20">
        <f>IF(AD10=0,0,AD19/AD10)</f>
        <v/>
      </c>
      <c r="AE20" s="41" t="n"/>
      <c r="AF20" s="40">
        <f>IF(AE20="","",AE20-AD20)</f>
        <v/>
      </c>
      <c r="AG20" s="40">
        <f>IF(AE20="","",IF(AD20=0,0,(AE20-AD20)/ABS(AD20)))</f>
        <v/>
      </c>
      <c r="AH20" s="20">
        <f>IF(AH10=0,0,AH19/AH10)</f>
        <v/>
      </c>
      <c r="AI20" s="41" t="n"/>
      <c r="AJ20" s="40">
        <f>IF(AI20="","",AI20-AH20)</f>
        <v/>
      </c>
      <c r="AK20" s="40">
        <f>IF(AI20="","",IF(AH20=0,0,(AI20-AH20)/ABS(AH20)))</f>
        <v/>
      </c>
      <c r="AL20" s="20">
        <f>IF(AL10=0,0,AL19/AL10)</f>
        <v/>
      </c>
      <c r="AM20" s="41" t="n"/>
      <c r="AN20" s="40">
        <f>IF(AM20="","",AM20-AL20)</f>
        <v/>
      </c>
      <c r="AO20" s="40">
        <f>IF(AM20="","",IF(AL20=0,0,(AM20-AL20)/ABS(AL20)))</f>
        <v/>
      </c>
      <c r="AP20" s="20">
        <f>IF(AP10=0,0,AP19/AP10)</f>
        <v/>
      </c>
      <c r="AQ20" s="41" t="n"/>
      <c r="AR20" s="40">
        <f>IF(AQ20="","",AQ20-AP20)</f>
        <v/>
      </c>
      <c r="AS20" s="40">
        <f>IF(AQ20="","",IF(AP20=0,0,(AQ20-AP20)/ABS(AP20)))</f>
        <v/>
      </c>
      <c r="AT20" s="20">
        <f>IF(AT10=0,0,AT19/AT10)</f>
        <v/>
      </c>
      <c r="AU20" s="41" t="n"/>
      <c r="AV20" s="40">
        <f>IF(AU20="","",AU20-AT20)</f>
        <v/>
      </c>
      <c r="AW20" s="40">
        <f>IF(AU20="","",IF(AT20=0,0,(AU20-AT20)/ABS(AT20)))</f>
        <v/>
      </c>
      <c r="AX20" s="20">
        <f>B20+F20+J20+N20+R20+V20+Z20+AD20+AH20+AL20+AP20+AT20</f>
        <v/>
      </c>
      <c r="AY20" s="41">
        <f>SUM(C20,G20,K20,O20,S20,W20,AA20,AE20,AI20,AM20,AQ20,AU20)</f>
        <v/>
      </c>
    </row>
    <row r="21"/>
    <row r="22">
      <c r="A22" s="3" t="inlineStr">
        <is>
          <t>OVERHEAD</t>
        </is>
      </c>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c r="AH22" s="4" t="inlineStr"/>
      <c r="AI22" s="4" t="inlineStr"/>
      <c r="AJ22" s="4" t="inlineStr"/>
      <c r="AK22" s="4" t="inlineStr"/>
      <c r="AL22" s="4" t="inlineStr"/>
      <c r="AM22" s="4" t="inlineStr"/>
      <c r="AN22" s="4" t="inlineStr"/>
      <c r="AO22" s="4" t="inlineStr"/>
      <c r="AP22" s="4" t="inlineStr"/>
      <c r="AQ22" s="4" t="inlineStr"/>
      <c r="AR22" s="4" t="inlineStr"/>
      <c r="AS22" s="4" t="inlineStr"/>
      <c r="AT22" s="4" t="inlineStr"/>
      <c r="AU22" s="4" t="inlineStr"/>
      <c r="AV22" s="4" t="inlineStr"/>
      <c r="AW22" s="4" t="inlineStr"/>
      <c r="AX22" s="4" t="inlineStr"/>
      <c r="AY22" s="4" t="inlineStr"/>
    </row>
    <row r="23">
      <c r="A23" s="26" t="inlineStr">
        <is>
          <t xml:space="preserve">  Rent / Office</t>
        </is>
      </c>
      <c r="B23" s="18">
        <f>Assumptions!$B$28</f>
        <v/>
      </c>
      <c r="C23" s="38" t="n"/>
      <c r="D23" s="39">
        <f>IF(C23="","",C23-B23)</f>
        <v/>
      </c>
      <c r="E23" s="40">
        <f>IF(C23="","",IF(B23=0,0,(C23-B23)/ABS(B23)))</f>
        <v/>
      </c>
      <c r="F23" s="18">
        <f>Assumptions!$B$28</f>
        <v/>
      </c>
      <c r="G23" s="38" t="n"/>
      <c r="H23" s="39">
        <f>IF(G23="","",G23-F23)</f>
        <v/>
      </c>
      <c r="I23" s="40">
        <f>IF(G23="","",IF(F23=0,0,(G23-F23)/ABS(F23)))</f>
        <v/>
      </c>
      <c r="J23" s="18">
        <f>Assumptions!$B$28</f>
        <v/>
      </c>
      <c r="K23" s="38" t="n"/>
      <c r="L23" s="39">
        <f>IF(K23="","",K23-J23)</f>
        <v/>
      </c>
      <c r="M23" s="40">
        <f>IF(K23="","",IF(J23=0,0,(K23-J23)/ABS(J23)))</f>
        <v/>
      </c>
      <c r="N23" s="18">
        <f>Assumptions!$B$28</f>
        <v/>
      </c>
      <c r="O23" s="38" t="n"/>
      <c r="P23" s="39">
        <f>IF(O23="","",O23-N23)</f>
        <v/>
      </c>
      <c r="Q23" s="40">
        <f>IF(O23="","",IF(N23=0,0,(O23-N23)/ABS(N23)))</f>
        <v/>
      </c>
      <c r="R23" s="18">
        <f>Assumptions!$B$28</f>
        <v/>
      </c>
      <c r="S23" s="38" t="n"/>
      <c r="T23" s="39">
        <f>IF(S23="","",S23-R23)</f>
        <v/>
      </c>
      <c r="U23" s="40">
        <f>IF(S23="","",IF(R23=0,0,(S23-R23)/ABS(R23)))</f>
        <v/>
      </c>
      <c r="V23" s="18">
        <f>Assumptions!$B$28</f>
        <v/>
      </c>
      <c r="W23" s="38" t="n"/>
      <c r="X23" s="39">
        <f>IF(W23="","",W23-V23)</f>
        <v/>
      </c>
      <c r="Y23" s="40">
        <f>IF(W23="","",IF(V23=0,0,(W23-V23)/ABS(V23)))</f>
        <v/>
      </c>
      <c r="Z23" s="18">
        <f>Assumptions!$B$28</f>
        <v/>
      </c>
      <c r="AA23" s="38" t="n"/>
      <c r="AB23" s="39">
        <f>IF(AA23="","",AA23-Z23)</f>
        <v/>
      </c>
      <c r="AC23" s="40">
        <f>IF(AA23="","",IF(Z23=0,0,(AA23-Z23)/ABS(Z23)))</f>
        <v/>
      </c>
      <c r="AD23" s="18">
        <f>Assumptions!$B$28</f>
        <v/>
      </c>
      <c r="AE23" s="38" t="n"/>
      <c r="AF23" s="39">
        <f>IF(AE23="","",AE23-AD23)</f>
        <v/>
      </c>
      <c r="AG23" s="40">
        <f>IF(AE23="","",IF(AD23=0,0,(AE23-AD23)/ABS(AD23)))</f>
        <v/>
      </c>
      <c r="AH23" s="18">
        <f>Assumptions!$B$28</f>
        <v/>
      </c>
      <c r="AI23" s="38" t="n"/>
      <c r="AJ23" s="39">
        <f>IF(AI23="","",AI23-AH23)</f>
        <v/>
      </c>
      <c r="AK23" s="40">
        <f>IF(AI23="","",IF(AH23=0,0,(AI23-AH23)/ABS(AH23)))</f>
        <v/>
      </c>
      <c r="AL23" s="18">
        <f>Assumptions!$B$28</f>
        <v/>
      </c>
      <c r="AM23" s="38" t="n"/>
      <c r="AN23" s="39">
        <f>IF(AM23="","",AM23-AL23)</f>
        <v/>
      </c>
      <c r="AO23" s="40">
        <f>IF(AM23="","",IF(AL23=0,0,(AM23-AL23)/ABS(AL23)))</f>
        <v/>
      </c>
      <c r="AP23" s="18">
        <f>Assumptions!$B$28</f>
        <v/>
      </c>
      <c r="AQ23" s="38" t="n"/>
      <c r="AR23" s="39">
        <f>IF(AQ23="","",AQ23-AP23)</f>
        <v/>
      </c>
      <c r="AS23" s="40">
        <f>IF(AQ23="","",IF(AP23=0,0,(AQ23-AP23)/ABS(AP23)))</f>
        <v/>
      </c>
      <c r="AT23" s="18">
        <f>Assumptions!$B$28</f>
        <v/>
      </c>
      <c r="AU23" s="38" t="n"/>
      <c r="AV23" s="39">
        <f>IF(AU23="","",AU23-AT23)</f>
        <v/>
      </c>
      <c r="AW23" s="40">
        <f>IF(AU23="","",IF(AT23=0,0,(AU23-AT23)/ABS(AT23)))</f>
        <v/>
      </c>
      <c r="AX23" s="18">
        <f>B23+F23+J23+N23+R23+V23+Z23+AD23+AH23+AL23+AP23+AT23</f>
        <v/>
      </c>
      <c r="AY23" s="38">
        <f>SUM(C23,G23,K23,O23,S23,W23,AA23,AE23,AI23,AM23,AQ23,AU23)</f>
        <v/>
      </c>
    </row>
    <row r="24">
      <c r="A24" s="26" t="inlineStr">
        <is>
          <t xml:space="preserve">  Insurance (GL, WC, Vehicle)</t>
        </is>
      </c>
      <c r="B24" s="18">
        <f>Assumptions!$B$29</f>
        <v/>
      </c>
      <c r="C24" s="38" t="n"/>
      <c r="D24" s="39">
        <f>IF(C24="","",C24-B24)</f>
        <v/>
      </c>
      <c r="E24" s="40">
        <f>IF(C24="","",IF(B24=0,0,(C24-B24)/ABS(B24)))</f>
        <v/>
      </c>
      <c r="F24" s="18">
        <f>Assumptions!$B$29</f>
        <v/>
      </c>
      <c r="G24" s="38" t="n"/>
      <c r="H24" s="39">
        <f>IF(G24="","",G24-F24)</f>
        <v/>
      </c>
      <c r="I24" s="40">
        <f>IF(G24="","",IF(F24=0,0,(G24-F24)/ABS(F24)))</f>
        <v/>
      </c>
      <c r="J24" s="18">
        <f>Assumptions!$B$29</f>
        <v/>
      </c>
      <c r="K24" s="38" t="n"/>
      <c r="L24" s="39">
        <f>IF(K24="","",K24-J24)</f>
        <v/>
      </c>
      <c r="M24" s="40">
        <f>IF(K24="","",IF(J24=0,0,(K24-J24)/ABS(J24)))</f>
        <v/>
      </c>
      <c r="N24" s="18">
        <f>Assumptions!$B$29</f>
        <v/>
      </c>
      <c r="O24" s="38" t="n"/>
      <c r="P24" s="39">
        <f>IF(O24="","",O24-N24)</f>
        <v/>
      </c>
      <c r="Q24" s="40">
        <f>IF(O24="","",IF(N24=0,0,(O24-N24)/ABS(N24)))</f>
        <v/>
      </c>
      <c r="R24" s="18">
        <f>Assumptions!$B$29</f>
        <v/>
      </c>
      <c r="S24" s="38" t="n"/>
      <c r="T24" s="39">
        <f>IF(S24="","",S24-R24)</f>
        <v/>
      </c>
      <c r="U24" s="40">
        <f>IF(S24="","",IF(R24=0,0,(S24-R24)/ABS(R24)))</f>
        <v/>
      </c>
      <c r="V24" s="18">
        <f>Assumptions!$B$29</f>
        <v/>
      </c>
      <c r="W24" s="38" t="n"/>
      <c r="X24" s="39">
        <f>IF(W24="","",W24-V24)</f>
        <v/>
      </c>
      <c r="Y24" s="40">
        <f>IF(W24="","",IF(V24=0,0,(W24-V24)/ABS(V24)))</f>
        <v/>
      </c>
      <c r="Z24" s="18">
        <f>Assumptions!$B$29</f>
        <v/>
      </c>
      <c r="AA24" s="38" t="n"/>
      <c r="AB24" s="39">
        <f>IF(AA24="","",AA24-Z24)</f>
        <v/>
      </c>
      <c r="AC24" s="40">
        <f>IF(AA24="","",IF(Z24=0,0,(AA24-Z24)/ABS(Z24)))</f>
        <v/>
      </c>
      <c r="AD24" s="18">
        <f>Assumptions!$B$29</f>
        <v/>
      </c>
      <c r="AE24" s="38" t="n"/>
      <c r="AF24" s="39">
        <f>IF(AE24="","",AE24-AD24)</f>
        <v/>
      </c>
      <c r="AG24" s="40">
        <f>IF(AE24="","",IF(AD24=0,0,(AE24-AD24)/ABS(AD24)))</f>
        <v/>
      </c>
      <c r="AH24" s="18">
        <f>Assumptions!$B$29</f>
        <v/>
      </c>
      <c r="AI24" s="38" t="n"/>
      <c r="AJ24" s="39">
        <f>IF(AI24="","",AI24-AH24)</f>
        <v/>
      </c>
      <c r="AK24" s="40">
        <f>IF(AI24="","",IF(AH24=0,0,(AI24-AH24)/ABS(AH24)))</f>
        <v/>
      </c>
      <c r="AL24" s="18">
        <f>Assumptions!$B$29</f>
        <v/>
      </c>
      <c r="AM24" s="38" t="n"/>
      <c r="AN24" s="39">
        <f>IF(AM24="","",AM24-AL24)</f>
        <v/>
      </c>
      <c r="AO24" s="40">
        <f>IF(AM24="","",IF(AL24=0,0,(AM24-AL24)/ABS(AL24)))</f>
        <v/>
      </c>
      <c r="AP24" s="18">
        <f>Assumptions!$B$29</f>
        <v/>
      </c>
      <c r="AQ24" s="38" t="n"/>
      <c r="AR24" s="39">
        <f>IF(AQ24="","",AQ24-AP24)</f>
        <v/>
      </c>
      <c r="AS24" s="40">
        <f>IF(AQ24="","",IF(AP24=0,0,(AQ24-AP24)/ABS(AP24)))</f>
        <v/>
      </c>
      <c r="AT24" s="18">
        <f>Assumptions!$B$29</f>
        <v/>
      </c>
      <c r="AU24" s="38" t="n"/>
      <c r="AV24" s="39">
        <f>IF(AU24="","",AU24-AT24)</f>
        <v/>
      </c>
      <c r="AW24" s="40">
        <f>IF(AU24="","",IF(AT24=0,0,(AU24-AT24)/ABS(AT24)))</f>
        <v/>
      </c>
      <c r="AX24" s="18">
        <f>B24+F24+J24+N24+R24+V24+Z24+AD24+AH24+AL24+AP24+AT24</f>
        <v/>
      </c>
      <c r="AY24" s="38">
        <f>SUM(C24,G24,K24,O24,S24,W24,AA24,AE24,AI24,AM24,AQ24,AU24)</f>
        <v/>
      </c>
    </row>
    <row r="25">
      <c r="A25" s="26" t="inlineStr">
        <is>
          <t xml:space="preserve">  Vehicle Lease / Fuel</t>
        </is>
      </c>
      <c r="B25" s="18">
        <f>Assumptions!$B$30</f>
        <v/>
      </c>
      <c r="C25" s="38" t="n"/>
      <c r="D25" s="39">
        <f>IF(C25="","",C25-B25)</f>
        <v/>
      </c>
      <c r="E25" s="40">
        <f>IF(C25="","",IF(B25=0,0,(C25-B25)/ABS(B25)))</f>
        <v/>
      </c>
      <c r="F25" s="18">
        <f>Assumptions!$B$30</f>
        <v/>
      </c>
      <c r="G25" s="38" t="n"/>
      <c r="H25" s="39">
        <f>IF(G25="","",G25-F25)</f>
        <v/>
      </c>
      <c r="I25" s="40">
        <f>IF(G25="","",IF(F25=0,0,(G25-F25)/ABS(F25)))</f>
        <v/>
      </c>
      <c r="J25" s="18">
        <f>Assumptions!$B$30</f>
        <v/>
      </c>
      <c r="K25" s="38" t="n"/>
      <c r="L25" s="39">
        <f>IF(K25="","",K25-J25)</f>
        <v/>
      </c>
      <c r="M25" s="40">
        <f>IF(K25="","",IF(J25=0,0,(K25-J25)/ABS(J25)))</f>
        <v/>
      </c>
      <c r="N25" s="18">
        <f>Assumptions!$B$30</f>
        <v/>
      </c>
      <c r="O25" s="38" t="n"/>
      <c r="P25" s="39">
        <f>IF(O25="","",O25-N25)</f>
        <v/>
      </c>
      <c r="Q25" s="40">
        <f>IF(O25="","",IF(N25=0,0,(O25-N25)/ABS(N25)))</f>
        <v/>
      </c>
      <c r="R25" s="18">
        <f>Assumptions!$B$30</f>
        <v/>
      </c>
      <c r="S25" s="38" t="n"/>
      <c r="T25" s="39">
        <f>IF(S25="","",S25-R25)</f>
        <v/>
      </c>
      <c r="U25" s="40">
        <f>IF(S25="","",IF(R25=0,0,(S25-R25)/ABS(R25)))</f>
        <v/>
      </c>
      <c r="V25" s="18">
        <f>Assumptions!$B$30</f>
        <v/>
      </c>
      <c r="W25" s="38" t="n"/>
      <c r="X25" s="39">
        <f>IF(W25="","",W25-V25)</f>
        <v/>
      </c>
      <c r="Y25" s="40">
        <f>IF(W25="","",IF(V25=0,0,(W25-V25)/ABS(V25)))</f>
        <v/>
      </c>
      <c r="Z25" s="18">
        <f>Assumptions!$B$30</f>
        <v/>
      </c>
      <c r="AA25" s="38" t="n"/>
      <c r="AB25" s="39">
        <f>IF(AA25="","",AA25-Z25)</f>
        <v/>
      </c>
      <c r="AC25" s="40">
        <f>IF(AA25="","",IF(Z25=0,0,(AA25-Z25)/ABS(Z25)))</f>
        <v/>
      </c>
      <c r="AD25" s="18">
        <f>Assumptions!$B$30</f>
        <v/>
      </c>
      <c r="AE25" s="38" t="n"/>
      <c r="AF25" s="39">
        <f>IF(AE25="","",AE25-AD25)</f>
        <v/>
      </c>
      <c r="AG25" s="40">
        <f>IF(AE25="","",IF(AD25=0,0,(AE25-AD25)/ABS(AD25)))</f>
        <v/>
      </c>
      <c r="AH25" s="18">
        <f>Assumptions!$B$30</f>
        <v/>
      </c>
      <c r="AI25" s="38" t="n"/>
      <c r="AJ25" s="39">
        <f>IF(AI25="","",AI25-AH25)</f>
        <v/>
      </c>
      <c r="AK25" s="40">
        <f>IF(AI25="","",IF(AH25=0,0,(AI25-AH25)/ABS(AH25)))</f>
        <v/>
      </c>
      <c r="AL25" s="18">
        <f>Assumptions!$B$30</f>
        <v/>
      </c>
      <c r="AM25" s="38" t="n"/>
      <c r="AN25" s="39">
        <f>IF(AM25="","",AM25-AL25)</f>
        <v/>
      </c>
      <c r="AO25" s="40">
        <f>IF(AM25="","",IF(AL25=0,0,(AM25-AL25)/ABS(AL25)))</f>
        <v/>
      </c>
      <c r="AP25" s="18">
        <f>Assumptions!$B$30</f>
        <v/>
      </c>
      <c r="AQ25" s="38" t="n"/>
      <c r="AR25" s="39">
        <f>IF(AQ25="","",AQ25-AP25)</f>
        <v/>
      </c>
      <c r="AS25" s="40">
        <f>IF(AQ25="","",IF(AP25=0,0,(AQ25-AP25)/ABS(AP25)))</f>
        <v/>
      </c>
      <c r="AT25" s="18">
        <f>Assumptions!$B$30</f>
        <v/>
      </c>
      <c r="AU25" s="38" t="n"/>
      <c r="AV25" s="39">
        <f>IF(AU25="","",AU25-AT25)</f>
        <v/>
      </c>
      <c r="AW25" s="40">
        <f>IF(AU25="","",IF(AT25=0,0,(AU25-AT25)/ABS(AT25)))</f>
        <v/>
      </c>
      <c r="AX25" s="18">
        <f>B25+F25+J25+N25+R25+V25+Z25+AD25+AH25+AL25+AP25+AT25</f>
        <v/>
      </c>
      <c r="AY25" s="38">
        <f>SUM(C25,G25,K25,O25,S25,W25,AA25,AE25,AI25,AM25,AQ25,AU25)</f>
        <v/>
      </c>
    </row>
    <row r="26">
      <c r="A26" s="26" t="inlineStr">
        <is>
          <t xml:space="preserve">  Tools &amp; Equipment</t>
        </is>
      </c>
      <c r="B26" s="18">
        <f>Assumptions!$B$31</f>
        <v/>
      </c>
      <c r="C26" s="38" t="n"/>
      <c r="D26" s="39">
        <f>IF(C26="","",C26-B26)</f>
        <v/>
      </c>
      <c r="E26" s="40">
        <f>IF(C26="","",IF(B26=0,0,(C26-B26)/ABS(B26)))</f>
        <v/>
      </c>
      <c r="F26" s="18">
        <f>Assumptions!$B$31</f>
        <v/>
      </c>
      <c r="G26" s="38" t="n"/>
      <c r="H26" s="39">
        <f>IF(G26="","",G26-F26)</f>
        <v/>
      </c>
      <c r="I26" s="40">
        <f>IF(G26="","",IF(F26=0,0,(G26-F26)/ABS(F26)))</f>
        <v/>
      </c>
      <c r="J26" s="18">
        <f>Assumptions!$B$31</f>
        <v/>
      </c>
      <c r="K26" s="38" t="n"/>
      <c r="L26" s="39">
        <f>IF(K26="","",K26-J26)</f>
        <v/>
      </c>
      <c r="M26" s="40">
        <f>IF(K26="","",IF(J26=0,0,(K26-J26)/ABS(J26)))</f>
        <v/>
      </c>
      <c r="N26" s="18">
        <f>Assumptions!$B$31</f>
        <v/>
      </c>
      <c r="O26" s="38" t="n"/>
      <c r="P26" s="39">
        <f>IF(O26="","",O26-N26)</f>
        <v/>
      </c>
      <c r="Q26" s="40">
        <f>IF(O26="","",IF(N26=0,0,(O26-N26)/ABS(N26)))</f>
        <v/>
      </c>
      <c r="R26" s="18">
        <f>Assumptions!$B$31</f>
        <v/>
      </c>
      <c r="S26" s="38" t="n"/>
      <c r="T26" s="39">
        <f>IF(S26="","",S26-R26)</f>
        <v/>
      </c>
      <c r="U26" s="40">
        <f>IF(S26="","",IF(R26=0,0,(S26-R26)/ABS(R26)))</f>
        <v/>
      </c>
      <c r="V26" s="18">
        <f>Assumptions!$B$31</f>
        <v/>
      </c>
      <c r="W26" s="38" t="n"/>
      <c r="X26" s="39">
        <f>IF(W26="","",W26-V26)</f>
        <v/>
      </c>
      <c r="Y26" s="40">
        <f>IF(W26="","",IF(V26=0,0,(W26-V26)/ABS(V26)))</f>
        <v/>
      </c>
      <c r="Z26" s="18">
        <f>Assumptions!$B$31</f>
        <v/>
      </c>
      <c r="AA26" s="38" t="n"/>
      <c r="AB26" s="39">
        <f>IF(AA26="","",AA26-Z26)</f>
        <v/>
      </c>
      <c r="AC26" s="40">
        <f>IF(AA26="","",IF(Z26=0,0,(AA26-Z26)/ABS(Z26)))</f>
        <v/>
      </c>
      <c r="AD26" s="18">
        <f>Assumptions!$B$31</f>
        <v/>
      </c>
      <c r="AE26" s="38" t="n"/>
      <c r="AF26" s="39">
        <f>IF(AE26="","",AE26-AD26)</f>
        <v/>
      </c>
      <c r="AG26" s="40">
        <f>IF(AE26="","",IF(AD26=0,0,(AE26-AD26)/ABS(AD26)))</f>
        <v/>
      </c>
      <c r="AH26" s="18">
        <f>Assumptions!$B$31</f>
        <v/>
      </c>
      <c r="AI26" s="38" t="n"/>
      <c r="AJ26" s="39">
        <f>IF(AI26="","",AI26-AH26)</f>
        <v/>
      </c>
      <c r="AK26" s="40">
        <f>IF(AI26="","",IF(AH26=0,0,(AI26-AH26)/ABS(AH26)))</f>
        <v/>
      </c>
      <c r="AL26" s="18">
        <f>Assumptions!$B$31</f>
        <v/>
      </c>
      <c r="AM26" s="38" t="n"/>
      <c r="AN26" s="39">
        <f>IF(AM26="","",AM26-AL26)</f>
        <v/>
      </c>
      <c r="AO26" s="40">
        <f>IF(AM26="","",IF(AL26=0,0,(AM26-AL26)/ABS(AL26)))</f>
        <v/>
      </c>
      <c r="AP26" s="18">
        <f>Assumptions!$B$31</f>
        <v/>
      </c>
      <c r="AQ26" s="38" t="n"/>
      <c r="AR26" s="39">
        <f>IF(AQ26="","",AQ26-AP26)</f>
        <v/>
      </c>
      <c r="AS26" s="40">
        <f>IF(AQ26="","",IF(AP26=0,0,(AQ26-AP26)/ABS(AP26)))</f>
        <v/>
      </c>
      <c r="AT26" s="18">
        <f>Assumptions!$B$31</f>
        <v/>
      </c>
      <c r="AU26" s="38" t="n"/>
      <c r="AV26" s="39">
        <f>IF(AU26="","",AU26-AT26)</f>
        <v/>
      </c>
      <c r="AW26" s="40">
        <f>IF(AU26="","",IF(AT26=0,0,(AU26-AT26)/ABS(AT26)))</f>
        <v/>
      </c>
      <c r="AX26" s="18">
        <f>B26+F26+J26+N26+R26+V26+Z26+AD26+AH26+AL26+AP26+AT26</f>
        <v/>
      </c>
      <c r="AY26" s="38">
        <f>SUM(C26,G26,K26,O26,S26,W26,AA26,AE26,AI26,AM26,AQ26,AU26)</f>
        <v/>
      </c>
    </row>
    <row r="27">
      <c r="A27" s="26" t="inlineStr">
        <is>
          <t xml:space="preserve">  Admin Salaries</t>
        </is>
      </c>
      <c r="B27" s="18">
        <f>Assumptions!$B$32</f>
        <v/>
      </c>
      <c r="C27" s="38" t="n"/>
      <c r="D27" s="39">
        <f>IF(C27="","",C27-B27)</f>
        <v/>
      </c>
      <c r="E27" s="40">
        <f>IF(C27="","",IF(B27=0,0,(C27-B27)/ABS(B27)))</f>
        <v/>
      </c>
      <c r="F27" s="18">
        <f>Assumptions!$B$32</f>
        <v/>
      </c>
      <c r="G27" s="38" t="n"/>
      <c r="H27" s="39">
        <f>IF(G27="","",G27-F27)</f>
        <v/>
      </c>
      <c r="I27" s="40">
        <f>IF(G27="","",IF(F27=0,0,(G27-F27)/ABS(F27)))</f>
        <v/>
      </c>
      <c r="J27" s="18">
        <f>Assumptions!$B$32</f>
        <v/>
      </c>
      <c r="K27" s="38" t="n"/>
      <c r="L27" s="39">
        <f>IF(K27="","",K27-J27)</f>
        <v/>
      </c>
      <c r="M27" s="40">
        <f>IF(K27="","",IF(J27=0,0,(K27-J27)/ABS(J27)))</f>
        <v/>
      </c>
      <c r="N27" s="18">
        <f>Assumptions!$B$32</f>
        <v/>
      </c>
      <c r="O27" s="38" t="n"/>
      <c r="P27" s="39">
        <f>IF(O27="","",O27-N27)</f>
        <v/>
      </c>
      <c r="Q27" s="40">
        <f>IF(O27="","",IF(N27=0,0,(O27-N27)/ABS(N27)))</f>
        <v/>
      </c>
      <c r="R27" s="18">
        <f>Assumptions!$B$32</f>
        <v/>
      </c>
      <c r="S27" s="38" t="n"/>
      <c r="T27" s="39">
        <f>IF(S27="","",S27-R27)</f>
        <v/>
      </c>
      <c r="U27" s="40">
        <f>IF(S27="","",IF(R27=0,0,(S27-R27)/ABS(R27)))</f>
        <v/>
      </c>
      <c r="V27" s="18">
        <f>Assumptions!$B$32</f>
        <v/>
      </c>
      <c r="W27" s="38" t="n"/>
      <c r="X27" s="39">
        <f>IF(W27="","",W27-V27)</f>
        <v/>
      </c>
      <c r="Y27" s="40">
        <f>IF(W27="","",IF(V27=0,0,(W27-V27)/ABS(V27)))</f>
        <v/>
      </c>
      <c r="Z27" s="18">
        <f>Assumptions!$B$32</f>
        <v/>
      </c>
      <c r="AA27" s="38" t="n"/>
      <c r="AB27" s="39">
        <f>IF(AA27="","",AA27-Z27)</f>
        <v/>
      </c>
      <c r="AC27" s="40">
        <f>IF(AA27="","",IF(Z27=0,0,(AA27-Z27)/ABS(Z27)))</f>
        <v/>
      </c>
      <c r="AD27" s="18">
        <f>Assumptions!$B$32</f>
        <v/>
      </c>
      <c r="AE27" s="38" t="n"/>
      <c r="AF27" s="39">
        <f>IF(AE27="","",AE27-AD27)</f>
        <v/>
      </c>
      <c r="AG27" s="40">
        <f>IF(AE27="","",IF(AD27=0,0,(AE27-AD27)/ABS(AD27)))</f>
        <v/>
      </c>
      <c r="AH27" s="18">
        <f>Assumptions!$B$32</f>
        <v/>
      </c>
      <c r="AI27" s="38" t="n"/>
      <c r="AJ27" s="39">
        <f>IF(AI27="","",AI27-AH27)</f>
        <v/>
      </c>
      <c r="AK27" s="40">
        <f>IF(AI27="","",IF(AH27=0,0,(AI27-AH27)/ABS(AH27)))</f>
        <v/>
      </c>
      <c r="AL27" s="18">
        <f>Assumptions!$B$32</f>
        <v/>
      </c>
      <c r="AM27" s="38" t="n"/>
      <c r="AN27" s="39">
        <f>IF(AM27="","",AM27-AL27)</f>
        <v/>
      </c>
      <c r="AO27" s="40">
        <f>IF(AM27="","",IF(AL27=0,0,(AM27-AL27)/ABS(AL27)))</f>
        <v/>
      </c>
      <c r="AP27" s="18">
        <f>Assumptions!$B$32</f>
        <v/>
      </c>
      <c r="AQ27" s="38" t="n"/>
      <c r="AR27" s="39">
        <f>IF(AQ27="","",AQ27-AP27)</f>
        <v/>
      </c>
      <c r="AS27" s="40">
        <f>IF(AQ27="","",IF(AP27=0,0,(AQ27-AP27)/ABS(AP27)))</f>
        <v/>
      </c>
      <c r="AT27" s="18">
        <f>Assumptions!$B$32</f>
        <v/>
      </c>
      <c r="AU27" s="38" t="n"/>
      <c r="AV27" s="39">
        <f>IF(AU27="","",AU27-AT27)</f>
        <v/>
      </c>
      <c r="AW27" s="40">
        <f>IF(AU27="","",IF(AT27=0,0,(AU27-AT27)/ABS(AT27)))</f>
        <v/>
      </c>
      <c r="AX27" s="18">
        <f>B27+F27+J27+N27+R27+V27+Z27+AD27+AH27+AL27+AP27+AT27</f>
        <v/>
      </c>
      <c r="AY27" s="38">
        <f>SUM(C27,G27,K27,O27,S27,W27,AA27,AE27,AI27,AM27,AQ27,AU27)</f>
        <v/>
      </c>
    </row>
    <row r="28">
      <c r="A28" s="26" t="inlineStr">
        <is>
          <t xml:space="preserve">  Software / IT</t>
        </is>
      </c>
      <c r="B28" s="18">
        <f>Assumptions!$B$33</f>
        <v/>
      </c>
      <c r="C28" s="38" t="n"/>
      <c r="D28" s="39">
        <f>IF(C28="","",C28-B28)</f>
        <v/>
      </c>
      <c r="E28" s="40">
        <f>IF(C28="","",IF(B28=0,0,(C28-B28)/ABS(B28)))</f>
        <v/>
      </c>
      <c r="F28" s="18">
        <f>Assumptions!$B$33</f>
        <v/>
      </c>
      <c r="G28" s="38" t="n"/>
      <c r="H28" s="39">
        <f>IF(G28="","",G28-F28)</f>
        <v/>
      </c>
      <c r="I28" s="40">
        <f>IF(G28="","",IF(F28=0,0,(G28-F28)/ABS(F28)))</f>
        <v/>
      </c>
      <c r="J28" s="18">
        <f>Assumptions!$B$33</f>
        <v/>
      </c>
      <c r="K28" s="38" t="n"/>
      <c r="L28" s="39">
        <f>IF(K28="","",K28-J28)</f>
        <v/>
      </c>
      <c r="M28" s="40">
        <f>IF(K28="","",IF(J28=0,0,(K28-J28)/ABS(J28)))</f>
        <v/>
      </c>
      <c r="N28" s="18">
        <f>Assumptions!$B$33</f>
        <v/>
      </c>
      <c r="O28" s="38" t="n"/>
      <c r="P28" s="39">
        <f>IF(O28="","",O28-N28)</f>
        <v/>
      </c>
      <c r="Q28" s="40">
        <f>IF(O28="","",IF(N28=0,0,(O28-N28)/ABS(N28)))</f>
        <v/>
      </c>
      <c r="R28" s="18">
        <f>Assumptions!$B$33</f>
        <v/>
      </c>
      <c r="S28" s="38" t="n"/>
      <c r="T28" s="39">
        <f>IF(S28="","",S28-R28)</f>
        <v/>
      </c>
      <c r="U28" s="40">
        <f>IF(S28="","",IF(R28=0,0,(S28-R28)/ABS(R28)))</f>
        <v/>
      </c>
      <c r="V28" s="18">
        <f>Assumptions!$B$33</f>
        <v/>
      </c>
      <c r="W28" s="38" t="n"/>
      <c r="X28" s="39">
        <f>IF(W28="","",W28-V28)</f>
        <v/>
      </c>
      <c r="Y28" s="40">
        <f>IF(W28="","",IF(V28=0,0,(W28-V28)/ABS(V28)))</f>
        <v/>
      </c>
      <c r="Z28" s="18">
        <f>Assumptions!$B$33</f>
        <v/>
      </c>
      <c r="AA28" s="38" t="n"/>
      <c r="AB28" s="39">
        <f>IF(AA28="","",AA28-Z28)</f>
        <v/>
      </c>
      <c r="AC28" s="40">
        <f>IF(AA28="","",IF(Z28=0,0,(AA28-Z28)/ABS(Z28)))</f>
        <v/>
      </c>
      <c r="AD28" s="18">
        <f>Assumptions!$B$33</f>
        <v/>
      </c>
      <c r="AE28" s="38" t="n"/>
      <c r="AF28" s="39">
        <f>IF(AE28="","",AE28-AD28)</f>
        <v/>
      </c>
      <c r="AG28" s="40">
        <f>IF(AE28="","",IF(AD28=0,0,(AE28-AD28)/ABS(AD28)))</f>
        <v/>
      </c>
      <c r="AH28" s="18">
        <f>Assumptions!$B$33</f>
        <v/>
      </c>
      <c r="AI28" s="38" t="n"/>
      <c r="AJ28" s="39">
        <f>IF(AI28="","",AI28-AH28)</f>
        <v/>
      </c>
      <c r="AK28" s="40">
        <f>IF(AI28="","",IF(AH28=0,0,(AI28-AH28)/ABS(AH28)))</f>
        <v/>
      </c>
      <c r="AL28" s="18">
        <f>Assumptions!$B$33</f>
        <v/>
      </c>
      <c r="AM28" s="38" t="n"/>
      <c r="AN28" s="39">
        <f>IF(AM28="","",AM28-AL28)</f>
        <v/>
      </c>
      <c r="AO28" s="40">
        <f>IF(AM28="","",IF(AL28=0,0,(AM28-AL28)/ABS(AL28)))</f>
        <v/>
      </c>
      <c r="AP28" s="18">
        <f>Assumptions!$B$33</f>
        <v/>
      </c>
      <c r="AQ28" s="38" t="n"/>
      <c r="AR28" s="39">
        <f>IF(AQ28="","",AQ28-AP28)</f>
        <v/>
      </c>
      <c r="AS28" s="40">
        <f>IF(AQ28="","",IF(AP28=0,0,(AQ28-AP28)/ABS(AP28)))</f>
        <v/>
      </c>
      <c r="AT28" s="18">
        <f>Assumptions!$B$33</f>
        <v/>
      </c>
      <c r="AU28" s="38" t="n"/>
      <c r="AV28" s="39">
        <f>IF(AU28="","",AU28-AT28)</f>
        <v/>
      </c>
      <c r="AW28" s="40">
        <f>IF(AU28="","",IF(AT28=0,0,(AU28-AT28)/ABS(AT28)))</f>
        <v/>
      </c>
      <c r="AX28" s="18">
        <f>B28+F28+J28+N28+R28+V28+Z28+AD28+AH28+AL28+AP28+AT28</f>
        <v/>
      </c>
      <c r="AY28" s="38">
        <f>SUM(C28,G28,K28,O28,S28,W28,AA28,AE28,AI28,AM28,AQ28,AU28)</f>
        <v/>
      </c>
    </row>
    <row r="29">
      <c r="A29" s="26" t="inlineStr">
        <is>
          <t xml:space="preserve">  Professional Fees (Legal, Acct)</t>
        </is>
      </c>
      <c r="B29" s="18">
        <f>Assumptions!$B$34</f>
        <v/>
      </c>
      <c r="C29" s="38" t="n"/>
      <c r="D29" s="39">
        <f>IF(C29="","",C29-B29)</f>
        <v/>
      </c>
      <c r="E29" s="40">
        <f>IF(C29="","",IF(B29=0,0,(C29-B29)/ABS(B29)))</f>
        <v/>
      </c>
      <c r="F29" s="18">
        <f>Assumptions!$B$34</f>
        <v/>
      </c>
      <c r="G29" s="38" t="n"/>
      <c r="H29" s="39">
        <f>IF(G29="","",G29-F29)</f>
        <v/>
      </c>
      <c r="I29" s="40">
        <f>IF(G29="","",IF(F29=0,0,(G29-F29)/ABS(F29)))</f>
        <v/>
      </c>
      <c r="J29" s="18">
        <f>Assumptions!$B$34</f>
        <v/>
      </c>
      <c r="K29" s="38" t="n"/>
      <c r="L29" s="39">
        <f>IF(K29="","",K29-J29)</f>
        <v/>
      </c>
      <c r="M29" s="40">
        <f>IF(K29="","",IF(J29=0,0,(K29-J29)/ABS(J29)))</f>
        <v/>
      </c>
      <c r="N29" s="18">
        <f>Assumptions!$B$34</f>
        <v/>
      </c>
      <c r="O29" s="38" t="n"/>
      <c r="P29" s="39">
        <f>IF(O29="","",O29-N29)</f>
        <v/>
      </c>
      <c r="Q29" s="40">
        <f>IF(O29="","",IF(N29=0,0,(O29-N29)/ABS(N29)))</f>
        <v/>
      </c>
      <c r="R29" s="18">
        <f>Assumptions!$B$34</f>
        <v/>
      </c>
      <c r="S29" s="38" t="n"/>
      <c r="T29" s="39">
        <f>IF(S29="","",S29-R29)</f>
        <v/>
      </c>
      <c r="U29" s="40">
        <f>IF(S29="","",IF(R29=0,0,(S29-R29)/ABS(R29)))</f>
        <v/>
      </c>
      <c r="V29" s="18">
        <f>Assumptions!$B$34</f>
        <v/>
      </c>
      <c r="W29" s="38" t="n"/>
      <c r="X29" s="39">
        <f>IF(W29="","",W29-V29)</f>
        <v/>
      </c>
      <c r="Y29" s="40">
        <f>IF(W29="","",IF(V29=0,0,(W29-V29)/ABS(V29)))</f>
        <v/>
      </c>
      <c r="Z29" s="18">
        <f>Assumptions!$B$34</f>
        <v/>
      </c>
      <c r="AA29" s="38" t="n"/>
      <c r="AB29" s="39">
        <f>IF(AA29="","",AA29-Z29)</f>
        <v/>
      </c>
      <c r="AC29" s="40">
        <f>IF(AA29="","",IF(Z29=0,0,(AA29-Z29)/ABS(Z29)))</f>
        <v/>
      </c>
      <c r="AD29" s="18">
        <f>Assumptions!$B$34</f>
        <v/>
      </c>
      <c r="AE29" s="38" t="n"/>
      <c r="AF29" s="39">
        <f>IF(AE29="","",AE29-AD29)</f>
        <v/>
      </c>
      <c r="AG29" s="40">
        <f>IF(AE29="","",IF(AD29=0,0,(AE29-AD29)/ABS(AD29)))</f>
        <v/>
      </c>
      <c r="AH29" s="18">
        <f>Assumptions!$B$34</f>
        <v/>
      </c>
      <c r="AI29" s="38" t="n"/>
      <c r="AJ29" s="39">
        <f>IF(AI29="","",AI29-AH29)</f>
        <v/>
      </c>
      <c r="AK29" s="40">
        <f>IF(AI29="","",IF(AH29=0,0,(AI29-AH29)/ABS(AH29)))</f>
        <v/>
      </c>
      <c r="AL29" s="18">
        <f>Assumptions!$B$34</f>
        <v/>
      </c>
      <c r="AM29" s="38" t="n"/>
      <c r="AN29" s="39">
        <f>IF(AM29="","",AM29-AL29)</f>
        <v/>
      </c>
      <c r="AO29" s="40">
        <f>IF(AM29="","",IF(AL29=0,0,(AM29-AL29)/ABS(AL29)))</f>
        <v/>
      </c>
      <c r="AP29" s="18">
        <f>Assumptions!$B$34</f>
        <v/>
      </c>
      <c r="AQ29" s="38" t="n"/>
      <c r="AR29" s="39">
        <f>IF(AQ29="","",AQ29-AP29)</f>
        <v/>
      </c>
      <c r="AS29" s="40">
        <f>IF(AQ29="","",IF(AP29=0,0,(AQ29-AP29)/ABS(AP29)))</f>
        <v/>
      </c>
      <c r="AT29" s="18">
        <f>Assumptions!$B$34</f>
        <v/>
      </c>
      <c r="AU29" s="38" t="n"/>
      <c r="AV29" s="39">
        <f>IF(AU29="","",AU29-AT29)</f>
        <v/>
      </c>
      <c r="AW29" s="40">
        <f>IF(AU29="","",IF(AT29=0,0,(AU29-AT29)/ABS(AT29)))</f>
        <v/>
      </c>
      <c r="AX29" s="18">
        <f>B29+F29+J29+N29+R29+V29+Z29+AD29+AH29+AL29+AP29+AT29</f>
        <v/>
      </c>
      <c r="AY29" s="38">
        <f>SUM(C29,G29,K29,O29,S29,W29,AA29,AE29,AI29,AM29,AQ29,AU29)</f>
        <v/>
      </c>
    </row>
    <row r="30">
      <c r="A30" s="26" t="inlineStr">
        <is>
          <t xml:space="preserve">  Marketing / Biz Dev</t>
        </is>
      </c>
      <c r="B30" s="18">
        <f>Assumptions!$B$35</f>
        <v/>
      </c>
      <c r="C30" s="38" t="n"/>
      <c r="D30" s="39">
        <f>IF(C30="","",C30-B30)</f>
        <v/>
      </c>
      <c r="E30" s="40">
        <f>IF(C30="","",IF(B30=0,0,(C30-B30)/ABS(B30)))</f>
        <v/>
      </c>
      <c r="F30" s="18">
        <f>Assumptions!$B$35</f>
        <v/>
      </c>
      <c r="G30" s="38" t="n"/>
      <c r="H30" s="39">
        <f>IF(G30="","",G30-F30)</f>
        <v/>
      </c>
      <c r="I30" s="40">
        <f>IF(G30="","",IF(F30=0,0,(G30-F30)/ABS(F30)))</f>
        <v/>
      </c>
      <c r="J30" s="18">
        <f>Assumptions!$B$35</f>
        <v/>
      </c>
      <c r="K30" s="38" t="n"/>
      <c r="L30" s="39">
        <f>IF(K30="","",K30-J30)</f>
        <v/>
      </c>
      <c r="M30" s="40">
        <f>IF(K30="","",IF(J30=0,0,(K30-J30)/ABS(J30)))</f>
        <v/>
      </c>
      <c r="N30" s="18">
        <f>Assumptions!$B$35</f>
        <v/>
      </c>
      <c r="O30" s="38" t="n"/>
      <c r="P30" s="39">
        <f>IF(O30="","",O30-N30)</f>
        <v/>
      </c>
      <c r="Q30" s="40">
        <f>IF(O30="","",IF(N30=0,0,(O30-N30)/ABS(N30)))</f>
        <v/>
      </c>
      <c r="R30" s="18">
        <f>Assumptions!$B$35</f>
        <v/>
      </c>
      <c r="S30" s="38" t="n"/>
      <c r="T30" s="39">
        <f>IF(S30="","",S30-R30)</f>
        <v/>
      </c>
      <c r="U30" s="40">
        <f>IF(S30="","",IF(R30=0,0,(S30-R30)/ABS(R30)))</f>
        <v/>
      </c>
      <c r="V30" s="18">
        <f>Assumptions!$B$35</f>
        <v/>
      </c>
      <c r="W30" s="38" t="n"/>
      <c r="X30" s="39">
        <f>IF(W30="","",W30-V30)</f>
        <v/>
      </c>
      <c r="Y30" s="40">
        <f>IF(W30="","",IF(V30=0,0,(W30-V30)/ABS(V30)))</f>
        <v/>
      </c>
      <c r="Z30" s="18">
        <f>Assumptions!$B$35</f>
        <v/>
      </c>
      <c r="AA30" s="38" t="n"/>
      <c r="AB30" s="39">
        <f>IF(AA30="","",AA30-Z30)</f>
        <v/>
      </c>
      <c r="AC30" s="40">
        <f>IF(AA30="","",IF(Z30=0,0,(AA30-Z30)/ABS(Z30)))</f>
        <v/>
      </c>
      <c r="AD30" s="18">
        <f>Assumptions!$B$35</f>
        <v/>
      </c>
      <c r="AE30" s="38" t="n"/>
      <c r="AF30" s="39">
        <f>IF(AE30="","",AE30-AD30)</f>
        <v/>
      </c>
      <c r="AG30" s="40">
        <f>IF(AE30="","",IF(AD30=0,0,(AE30-AD30)/ABS(AD30)))</f>
        <v/>
      </c>
      <c r="AH30" s="18">
        <f>Assumptions!$B$35</f>
        <v/>
      </c>
      <c r="AI30" s="38" t="n"/>
      <c r="AJ30" s="39">
        <f>IF(AI30="","",AI30-AH30)</f>
        <v/>
      </c>
      <c r="AK30" s="40">
        <f>IF(AI30="","",IF(AH30=0,0,(AI30-AH30)/ABS(AH30)))</f>
        <v/>
      </c>
      <c r="AL30" s="18">
        <f>Assumptions!$B$35</f>
        <v/>
      </c>
      <c r="AM30" s="38" t="n"/>
      <c r="AN30" s="39">
        <f>IF(AM30="","",AM30-AL30)</f>
        <v/>
      </c>
      <c r="AO30" s="40">
        <f>IF(AM30="","",IF(AL30=0,0,(AM30-AL30)/ABS(AL30)))</f>
        <v/>
      </c>
      <c r="AP30" s="18">
        <f>Assumptions!$B$35</f>
        <v/>
      </c>
      <c r="AQ30" s="38" t="n"/>
      <c r="AR30" s="39">
        <f>IF(AQ30="","",AQ30-AP30)</f>
        <v/>
      </c>
      <c r="AS30" s="40">
        <f>IF(AQ30="","",IF(AP30=0,0,(AQ30-AP30)/ABS(AP30)))</f>
        <v/>
      </c>
      <c r="AT30" s="18">
        <f>Assumptions!$B$35</f>
        <v/>
      </c>
      <c r="AU30" s="38" t="n"/>
      <c r="AV30" s="39">
        <f>IF(AU30="","",AU30-AT30)</f>
        <v/>
      </c>
      <c r="AW30" s="40">
        <f>IF(AU30="","",IF(AT30=0,0,(AU30-AT30)/ABS(AT30)))</f>
        <v/>
      </c>
      <c r="AX30" s="18">
        <f>B30+F30+J30+N30+R30+V30+Z30+AD30+AH30+AL30+AP30+AT30</f>
        <v/>
      </c>
      <c r="AY30" s="38">
        <f>SUM(C30,G30,K30,O30,S30,W30,AA30,AE30,AI30,AM30,AQ30,AU30)</f>
        <v/>
      </c>
    </row>
    <row r="31">
      <c r="A31" s="26" t="inlineStr">
        <is>
          <t xml:space="preserve">  Utilities</t>
        </is>
      </c>
      <c r="B31" s="18">
        <f>Assumptions!$B$36</f>
        <v/>
      </c>
      <c r="C31" s="38" t="n"/>
      <c r="D31" s="39">
        <f>IF(C31="","",C31-B31)</f>
        <v/>
      </c>
      <c r="E31" s="40">
        <f>IF(C31="","",IF(B31=0,0,(C31-B31)/ABS(B31)))</f>
        <v/>
      </c>
      <c r="F31" s="18">
        <f>Assumptions!$B$36</f>
        <v/>
      </c>
      <c r="G31" s="38" t="n"/>
      <c r="H31" s="39">
        <f>IF(G31="","",G31-F31)</f>
        <v/>
      </c>
      <c r="I31" s="40">
        <f>IF(G31="","",IF(F31=0,0,(G31-F31)/ABS(F31)))</f>
        <v/>
      </c>
      <c r="J31" s="18">
        <f>Assumptions!$B$36</f>
        <v/>
      </c>
      <c r="K31" s="38" t="n"/>
      <c r="L31" s="39">
        <f>IF(K31="","",K31-J31)</f>
        <v/>
      </c>
      <c r="M31" s="40">
        <f>IF(K31="","",IF(J31=0,0,(K31-J31)/ABS(J31)))</f>
        <v/>
      </c>
      <c r="N31" s="18">
        <f>Assumptions!$B$36</f>
        <v/>
      </c>
      <c r="O31" s="38" t="n"/>
      <c r="P31" s="39">
        <f>IF(O31="","",O31-N31)</f>
        <v/>
      </c>
      <c r="Q31" s="40">
        <f>IF(O31="","",IF(N31=0,0,(O31-N31)/ABS(N31)))</f>
        <v/>
      </c>
      <c r="R31" s="18">
        <f>Assumptions!$B$36</f>
        <v/>
      </c>
      <c r="S31" s="38" t="n"/>
      <c r="T31" s="39">
        <f>IF(S31="","",S31-R31)</f>
        <v/>
      </c>
      <c r="U31" s="40">
        <f>IF(S31="","",IF(R31=0,0,(S31-R31)/ABS(R31)))</f>
        <v/>
      </c>
      <c r="V31" s="18">
        <f>Assumptions!$B$36</f>
        <v/>
      </c>
      <c r="W31" s="38" t="n"/>
      <c r="X31" s="39">
        <f>IF(W31="","",W31-V31)</f>
        <v/>
      </c>
      <c r="Y31" s="40">
        <f>IF(W31="","",IF(V31=0,0,(W31-V31)/ABS(V31)))</f>
        <v/>
      </c>
      <c r="Z31" s="18">
        <f>Assumptions!$B$36</f>
        <v/>
      </c>
      <c r="AA31" s="38" t="n"/>
      <c r="AB31" s="39">
        <f>IF(AA31="","",AA31-Z31)</f>
        <v/>
      </c>
      <c r="AC31" s="40">
        <f>IF(AA31="","",IF(Z31=0,0,(AA31-Z31)/ABS(Z31)))</f>
        <v/>
      </c>
      <c r="AD31" s="18">
        <f>Assumptions!$B$36</f>
        <v/>
      </c>
      <c r="AE31" s="38" t="n"/>
      <c r="AF31" s="39">
        <f>IF(AE31="","",AE31-AD31)</f>
        <v/>
      </c>
      <c r="AG31" s="40">
        <f>IF(AE31="","",IF(AD31=0,0,(AE31-AD31)/ABS(AD31)))</f>
        <v/>
      </c>
      <c r="AH31" s="18">
        <f>Assumptions!$B$36</f>
        <v/>
      </c>
      <c r="AI31" s="38" t="n"/>
      <c r="AJ31" s="39">
        <f>IF(AI31="","",AI31-AH31)</f>
        <v/>
      </c>
      <c r="AK31" s="40">
        <f>IF(AI31="","",IF(AH31=0,0,(AI31-AH31)/ABS(AH31)))</f>
        <v/>
      </c>
      <c r="AL31" s="18">
        <f>Assumptions!$B$36</f>
        <v/>
      </c>
      <c r="AM31" s="38" t="n"/>
      <c r="AN31" s="39">
        <f>IF(AM31="","",AM31-AL31)</f>
        <v/>
      </c>
      <c r="AO31" s="40">
        <f>IF(AM31="","",IF(AL31=0,0,(AM31-AL31)/ABS(AL31)))</f>
        <v/>
      </c>
      <c r="AP31" s="18">
        <f>Assumptions!$B$36</f>
        <v/>
      </c>
      <c r="AQ31" s="38" t="n"/>
      <c r="AR31" s="39">
        <f>IF(AQ31="","",AQ31-AP31)</f>
        <v/>
      </c>
      <c r="AS31" s="40">
        <f>IF(AQ31="","",IF(AP31=0,0,(AQ31-AP31)/ABS(AP31)))</f>
        <v/>
      </c>
      <c r="AT31" s="18">
        <f>Assumptions!$B$36</f>
        <v/>
      </c>
      <c r="AU31" s="38" t="n"/>
      <c r="AV31" s="39">
        <f>IF(AU31="","",AU31-AT31)</f>
        <v/>
      </c>
      <c r="AW31" s="40">
        <f>IF(AU31="","",IF(AT31=0,0,(AU31-AT31)/ABS(AT31)))</f>
        <v/>
      </c>
      <c r="AX31" s="18">
        <f>B31+F31+J31+N31+R31+V31+Z31+AD31+AH31+AL31+AP31+AT31</f>
        <v/>
      </c>
      <c r="AY31" s="38">
        <f>SUM(C31,G31,K31,O31,S31,W31,AA31,AE31,AI31,AM31,AQ31,AU31)</f>
        <v/>
      </c>
    </row>
    <row r="32">
      <c r="A32" s="26" t="inlineStr">
        <is>
          <t xml:space="preserve">  Office Supplies</t>
        </is>
      </c>
      <c r="B32" s="18">
        <f>Assumptions!$B$37</f>
        <v/>
      </c>
      <c r="C32" s="38" t="n"/>
      <c r="D32" s="39">
        <f>IF(C32="","",C32-B32)</f>
        <v/>
      </c>
      <c r="E32" s="40">
        <f>IF(C32="","",IF(B32=0,0,(C32-B32)/ABS(B32)))</f>
        <v/>
      </c>
      <c r="F32" s="18">
        <f>Assumptions!$B$37</f>
        <v/>
      </c>
      <c r="G32" s="38" t="n"/>
      <c r="H32" s="39">
        <f>IF(G32="","",G32-F32)</f>
        <v/>
      </c>
      <c r="I32" s="40">
        <f>IF(G32="","",IF(F32=0,0,(G32-F32)/ABS(F32)))</f>
        <v/>
      </c>
      <c r="J32" s="18">
        <f>Assumptions!$B$37</f>
        <v/>
      </c>
      <c r="K32" s="38" t="n"/>
      <c r="L32" s="39">
        <f>IF(K32="","",K32-J32)</f>
        <v/>
      </c>
      <c r="M32" s="40">
        <f>IF(K32="","",IF(J32=0,0,(K32-J32)/ABS(J32)))</f>
        <v/>
      </c>
      <c r="N32" s="18">
        <f>Assumptions!$B$37</f>
        <v/>
      </c>
      <c r="O32" s="38" t="n"/>
      <c r="P32" s="39">
        <f>IF(O32="","",O32-N32)</f>
        <v/>
      </c>
      <c r="Q32" s="40">
        <f>IF(O32="","",IF(N32=0,0,(O32-N32)/ABS(N32)))</f>
        <v/>
      </c>
      <c r="R32" s="18">
        <f>Assumptions!$B$37</f>
        <v/>
      </c>
      <c r="S32" s="38" t="n"/>
      <c r="T32" s="39">
        <f>IF(S32="","",S32-R32)</f>
        <v/>
      </c>
      <c r="U32" s="40">
        <f>IF(S32="","",IF(R32=0,0,(S32-R32)/ABS(R32)))</f>
        <v/>
      </c>
      <c r="V32" s="18">
        <f>Assumptions!$B$37</f>
        <v/>
      </c>
      <c r="W32" s="38" t="n"/>
      <c r="X32" s="39">
        <f>IF(W32="","",W32-V32)</f>
        <v/>
      </c>
      <c r="Y32" s="40">
        <f>IF(W32="","",IF(V32=0,0,(W32-V32)/ABS(V32)))</f>
        <v/>
      </c>
      <c r="Z32" s="18">
        <f>Assumptions!$B$37</f>
        <v/>
      </c>
      <c r="AA32" s="38" t="n"/>
      <c r="AB32" s="39">
        <f>IF(AA32="","",AA32-Z32)</f>
        <v/>
      </c>
      <c r="AC32" s="40">
        <f>IF(AA32="","",IF(Z32=0,0,(AA32-Z32)/ABS(Z32)))</f>
        <v/>
      </c>
      <c r="AD32" s="18">
        <f>Assumptions!$B$37</f>
        <v/>
      </c>
      <c r="AE32" s="38" t="n"/>
      <c r="AF32" s="39">
        <f>IF(AE32="","",AE32-AD32)</f>
        <v/>
      </c>
      <c r="AG32" s="40">
        <f>IF(AE32="","",IF(AD32=0,0,(AE32-AD32)/ABS(AD32)))</f>
        <v/>
      </c>
      <c r="AH32" s="18">
        <f>Assumptions!$B$37</f>
        <v/>
      </c>
      <c r="AI32" s="38" t="n"/>
      <c r="AJ32" s="39">
        <f>IF(AI32="","",AI32-AH32)</f>
        <v/>
      </c>
      <c r="AK32" s="40">
        <f>IF(AI32="","",IF(AH32=0,0,(AI32-AH32)/ABS(AH32)))</f>
        <v/>
      </c>
      <c r="AL32" s="18">
        <f>Assumptions!$B$37</f>
        <v/>
      </c>
      <c r="AM32" s="38" t="n"/>
      <c r="AN32" s="39">
        <f>IF(AM32="","",AM32-AL32)</f>
        <v/>
      </c>
      <c r="AO32" s="40">
        <f>IF(AM32="","",IF(AL32=0,0,(AM32-AL32)/ABS(AL32)))</f>
        <v/>
      </c>
      <c r="AP32" s="18">
        <f>Assumptions!$B$37</f>
        <v/>
      </c>
      <c r="AQ32" s="38" t="n"/>
      <c r="AR32" s="39">
        <f>IF(AQ32="","",AQ32-AP32)</f>
        <v/>
      </c>
      <c r="AS32" s="40">
        <f>IF(AQ32="","",IF(AP32=0,0,(AQ32-AP32)/ABS(AP32)))</f>
        <v/>
      </c>
      <c r="AT32" s="18">
        <f>Assumptions!$B$37</f>
        <v/>
      </c>
      <c r="AU32" s="38" t="n"/>
      <c r="AV32" s="39">
        <f>IF(AU32="","",AU32-AT32)</f>
        <v/>
      </c>
      <c r="AW32" s="40">
        <f>IF(AU32="","",IF(AT32=0,0,(AU32-AT32)/ABS(AT32)))</f>
        <v/>
      </c>
      <c r="AX32" s="18">
        <f>B32+F32+J32+N32+R32+V32+Z32+AD32+AH32+AL32+AP32+AT32</f>
        <v/>
      </c>
      <c r="AY32" s="38">
        <f>SUM(C32,G32,K32,O32,S32,W32,AA32,AE32,AI32,AM32,AQ32,AU32)</f>
        <v/>
      </c>
    </row>
    <row r="33">
      <c r="A33" s="26" t="inlineStr">
        <is>
          <t xml:space="preserve">  Permits &amp; Licenses</t>
        </is>
      </c>
      <c r="B33" s="18">
        <f>Assumptions!$B$38</f>
        <v/>
      </c>
      <c r="C33" s="38" t="n"/>
      <c r="D33" s="39">
        <f>IF(C33="","",C33-B33)</f>
        <v/>
      </c>
      <c r="E33" s="40">
        <f>IF(C33="","",IF(B33=0,0,(C33-B33)/ABS(B33)))</f>
        <v/>
      </c>
      <c r="F33" s="18">
        <f>Assumptions!$B$38</f>
        <v/>
      </c>
      <c r="G33" s="38" t="n"/>
      <c r="H33" s="39">
        <f>IF(G33="","",G33-F33)</f>
        <v/>
      </c>
      <c r="I33" s="40">
        <f>IF(G33="","",IF(F33=0,0,(G33-F33)/ABS(F33)))</f>
        <v/>
      </c>
      <c r="J33" s="18">
        <f>Assumptions!$B$38</f>
        <v/>
      </c>
      <c r="K33" s="38" t="n"/>
      <c r="L33" s="39">
        <f>IF(K33="","",K33-J33)</f>
        <v/>
      </c>
      <c r="M33" s="40">
        <f>IF(K33="","",IF(J33=0,0,(K33-J33)/ABS(J33)))</f>
        <v/>
      </c>
      <c r="N33" s="18">
        <f>Assumptions!$B$38</f>
        <v/>
      </c>
      <c r="O33" s="38" t="n"/>
      <c r="P33" s="39">
        <f>IF(O33="","",O33-N33)</f>
        <v/>
      </c>
      <c r="Q33" s="40">
        <f>IF(O33="","",IF(N33=0,0,(O33-N33)/ABS(N33)))</f>
        <v/>
      </c>
      <c r="R33" s="18">
        <f>Assumptions!$B$38</f>
        <v/>
      </c>
      <c r="S33" s="38" t="n"/>
      <c r="T33" s="39">
        <f>IF(S33="","",S33-R33)</f>
        <v/>
      </c>
      <c r="U33" s="40">
        <f>IF(S33="","",IF(R33=0,0,(S33-R33)/ABS(R33)))</f>
        <v/>
      </c>
      <c r="V33" s="18">
        <f>Assumptions!$B$38</f>
        <v/>
      </c>
      <c r="W33" s="38" t="n"/>
      <c r="X33" s="39">
        <f>IF(W33="","",W33-V33)</f>
        <v/>
      </c>
      <c r="Y33" s="40">
        <f>IF(W33="","",IF(V33=0,0,(W33-V33)/ABS(V33)))</f>
        <v/>
      </c>
      <c r="Z33" s="18">
        <f>Assumptions!$B$38</f>
        <v/>
      </c>
      <c r="AA33" s="38" t="n"/>
      <c r="AB33" s="39">
        <f>IF(AA33="","",AA33-Z33)</f>
        <v/>
      </c>
      <c r="AC33" s="40">
        <f>IF(AA33="","",IF(Z33=0,0,(AA33-Z33)/ABS(Z33)))</f>
        <v/>
      </c>
      <c r="AD33" s="18">
        <f>Assumptions!$B$38</f>
        <v/>
      </c>
      <c r="AE33" s="38" t="n"/>
      <c r="AF33" s="39">
        <f>IF(AE33="","",AE33-AD33)</f>
        <v/>
      </c>
      <c r="AG33" s="40">
        <f>IF(AE33="","",IF(AD33=0,0,(AE33-AD33)/ABS(AD33)))</f>
        <v/>
      </c>
      <c r="AH33" s="18">
        <f>Assumptions!$B$38</f>
        <v/>
      </c>
      <c r="AI33" s="38" t="n"/>
      <c r="AJ33" s="39">
        <f>IF(AI33="","",AI33-AH33)</f>
        <v/>
      </c>
      <c r="AK33" s="40">
        <f>IF(AI33="","",IF(AH33=0,0,(AI33-AH33)/ABS(AH33)))</f>
        <v/>
      </c>
      <c r="AL33" s="18">
        <f>Assumptions!$B$38</f>
        <v/>
      </c>
      <c r="AM33" s="38" t="n"/>
      <c r="AN33" s="39">
        <f>IF(AM33="","",AM33-AL33)</f>
        <v/>
      </c>
      <c r="AO33" s="40">
        <f>IF(AM33="","",IF(AL33=0,0,(AM33-AL33)/ABS(AL33)))</f>
        <v/>
      </c>
      <c r="AP33" s="18">
        <f>Assumptions!$B$38</f>
        <v/>
      </c>
      <c r="AQ33" s="38" t="n"/>
      <c r="AR33" s="39">
        <f>IF(AQ33="","",AQ33-AP33)</f>
        <v/>
      </c>
      <c r="AS33" s="40">
        <f>IF(AQ33="","",IF(AP33=0,0,(AQ33-AP33)/ABS(AP33)))</f>
        <v/>
      </c>
      <c r="AT33" s="18">
        <f>Assumptions!$B$38</f>
        <v/>
      </c>
      <c r="AU33" s="38" t="n"/>
      <c r="AV33" s="39">
        <f>IF(AU33="","",AU33-AT33)</f>
        <v/>
      </c>
      <c r="AW33" s="40">
        <f>IF(AU33="","",IF(AT33=0,0,(AU33-AT33)/ABS(AT33)))</f>
        <v/>
      </c>
      <c r="AX33" s="18">
        <f>B33+F33+J33+N33+R33+V33+Z33+AD33+AH33+AL33+AP33+AT33</f>
        <v/>
      </c>
      <c r="AY33" s="38">
        <f>SUM(C33,G33,K33,O33,S33,W33,AA33,AE33,AI33,AM33,AQ33,AU33)</f>
        <v/>
      </c>
    </row>
    <row r="34">
      <c r="A34" s="26" t="inlineStr">
        <is>
          <t xml:space="preserve">  Training &amp; Certifications</t>
        </is>
      </c>
      <c r="B34" s="18">
        <f>Assumptions!$B$39</f>
        <v/>
      </c>
      <c r="C34" s="38" t="n"/>
      <c r="D34" s="39">
        <f>IF(C34="","",C34-B34)</f>
        <v/>
      </c>
      <c r="E34" s="40">
        <f>IF(C34="","",IF(B34=0,0,(C34-B34)/ABS(B34)))</f>
        <v/>
      </c>
      <c r="F34" s="18">
        <f>Assumptions!$B$39</f>
        <v/>
      </c>
      <c r="G34" s="38" t="n"/>
      <c r="H34" s="39">
        <f>IF(G34="","",G34-F34)</f>
        <v/>
      </c>
      <c r="I34" s="40">
        <f>IF(G34="","",IF(F34=0,0,(G34-F34)/ABS(F34)))</f>
        <v/>
      </c>
      <c r="J34" s="18">
        <f>Assumptions!$B$39</f>
        <v/>
      </c>
      <c r="K34" s="38" t="n"/>
      <c r="L34" s="39">
        <f>IF(K34="","",K34-J34)</f>
        <v/>
      </c>
      <c r="M34" s="40">
        <f>IF(K34="","",IF(J34=0,0,(K34-J34)/ABS(J34)))</f>
        <v/>
      </c>
      <c r="N34" s="18">
        <f>Assumptions!$B$39</f>
        <v/>
      </c>
      <c r="O34" s="38" t="n"/>
      <c r="P34" s="39">
        <f>IF(O34="","",O34-N34)</f>
        <v/>
      </c>
      <c r="Q34" s="40">
        <f>IF(O34="","",IF(N34=0,0,(O34-N34)/ABS(N34)))</f>
        <v/>
      </c>
      <c r="R34" s="18">
        <f>Assumptions!$B$39</f>
        <v/>
      </c>
      <c r="S34" s="38" t="n"/>
      <c r="T34" s="39">
        <f>IF(S34="","",S34-R34)</f>
        <v/>
      </c>
      <c r="U34" s="40">
        <f>IF(S34="","",IF(R34=0,0,(S34-R34)/ABS(R34)))</f>
        <v/>
      </c>
      <c r="V34" s="18">
        <f>Assumptions!$B$39</f>
        <v/>
      </c>
      <c r="W34" s="38" t="n"/>
      <c r="X34" s="39">
        <f>IF(W34="","",W34-V34)</f>
        <v/>
      </c>
      <c r="Y34" s="40">
        <f>IF(W34="","",IF(V34=0,0,(W34-V34)/ABS(V34)))</f>
        <v/>
      </c>
      <c r="Z34" s="18">
        <f>Assumptions!$B$39</f>
        <v/>
      </c>
      <c r="AA34" s="38" t="n"/>
      <c r="AB34" s="39">
        <f>IF(AA34="","",AA34-Z34)</f>
        <v/>
      </c>
      <c r="AC34" s="40">
        <f>IF(AA34="","",IF(Z34=0,0,(AA34-Z34)/ABS(Z34)))</f>
        <v/>
      </c>
      <c r="AD34" s="18">
        <f>Assumptions!$B$39</f>
        <v/>
      </c>
      <c r="AE34" s="38" t="n"/>
      <c r="AF34" s="39">
        <f>IF(AE34="","",AE34-AD34)</f>
        <v/>
      </c>
      <c r="AG34" s="40">
        <f>IF(AE34="","",IF(AD34=0,0,(AE34-AD34)/ABS(AD34)))</f>
        <v/>
      </c>
      <c r="AH34" s="18">
        <f>Assumptions!$B$39</f>
        <v/>
      </c>
      <c r="AI34" s="38" t="n"/>
      <c r="AJ34" s="39">
        <f>IF(AI34="","",AI34-AH34)</f>
        <v/>
      </c>
      <c r="AK34" s="40">
        <f>IF(AI34="","",IF(AH34=0,0,(AI34-AH34)/ABS(AH34)))</f>
        <v/>
      </c>
      <c r="AL34" s="18">
        <f>Assumptions!$B$39</f>
        <v/>
      </c>
      <c r="AM34" s="38" t="n"/>
      <c r="AN34" s="39">
        <f>IF(AM34="","",AM34-AL34)</f>
        <v/>
      </c>
      <c r="AO34" s="40">
        <f>IF(AM34="","",IF(AL34=0,0,(AM34-AL34)/ABS(AL34)))</f>
        <v/>
      </c>
      <c r="AP34" s="18">
        <f>Assumptions!$B$39</f>
        <v/>
      </c>
      <c r="AQ34" s="38" t="n"/>
      <c r="AR34" s="39">
        <f>IF(AQ34="","",AQ34-AP34)</f>
        <v/>
      </c>
      <c r="AS34" s="40">
        <f>IF(AQ34="","",IF(AP34=0,0,(AQ34-AP34)/ABS(AP34)))</f>
        <v/>
      </c>
      <c r="AT34" s="18">
        <f>Assumptions!$B$39</f>
        <v/>
      </c>
      <c r="AU34" s="38" t="n"/>
      <c r="AV34" s="39">
        <f>IF(AU34="","",AU34-AT34)</f>
        <v/>
      </c>
      <c r="AW34" s="40">
        <f>IF(AU34="","",IF(AT34=0,0,(AU34-AT34)/ABS(AT34)))</f>
        <v/>
      </c>
      <c r="AX34" s="18">
        <f>B34+F34+J34+N34+R34+V34+Z34+AD34+AH34+AL34+AP34+AT34</f>
        <v/>
      </c>
      <c r="AY34" s="38">
        <f>SUM(C34,G34,K34,O34,S34,W34,AA34,AE34,AI34,AM34,AQ34,AU34)</f>
        <v/>
      </c>
    </row>
    <row r="35">
      <c r="A35" s="17" t="inlineStr">
        <is>
          <t>TOTAL OVERHEAD</t>
        </is>
      </c>
      <c r="B35" s="14">
        <f>B23+B24+B25+B26+B27+B28+B29+B30+B31+B32+B33+B34</f>
        <v/>
      </c>
      <c r="C35" s="38" t="n"/>
      <c r="D35" s="39">
        <f>IF(C35="","",C35-B35)</f>
        <v/>
      </c>
      <c r="E35" s="40">
        <f>IF(C35="","",IF(B35=0,0,(C35-B35)/ABS(B35)))</f>
        <v/>
      </c>
      <c r="F35" s="14">
        <f>F23+F24+F25+F26+F27+F28+F29+F30+F31+F32+F33+F34</f>
        <v/>
      </c>
      <c r="G35" s="38" t="n"/>
      <c r="H35" s="39">
        <f>IF(G35="","",G35-F35)</f>
        <v/>
      </c>
      <c r="I35" s="40">
        <f>IF(G35="","",IF(F35=0,0,(G35-F35)/ABS(F35)))</f>
        <v/>
      </c>
      <c r="J35" s="14">
        <f>J23+J24+J25+J26+J27+J28+J29+J30+J31+J32+J33+J34</f>
        <v/>
      </c>
      <c r="K35" s="38" t="n"/>
      <c r="L35" s="39">
        <f>IF(K35="","",K35-J35)</f>
        <v/>
      </c>
      <c r="M35" s="40">
        <f>IF(K35="","",IF(J35=0,0,(K35-J35)/ABS(J35)))</f>
        <v/>
      </c>
      <c r="N35" s="14">
        <f>N23+N24+N25+N26+N27+N28+N29+N30+N31+N32+N33+N34</f>
        <v/>
      </c>
      <c r="O35" s="38" t="n"/>
      <c r="P35" s="39">
        <f>IF(O35="","",O35-N35)</f>
        <v/>
      </c>
      <c r="Q35" s="40">
        <f>IF(O35="","",IF(N35=0,0,(O35-N35)/ABS(N35)))</f>
        <v/>
      </c>
      <c r="R35" s="14">
        <f>R23+R24+R25+R26+R27+R28+R29+R30+R31+R32+R33+R34</f>
        <v/>
      </c>
      <c r="S35" s="38" t="n"/>
      <c r="T35" s="39">
        <f>IF(S35="","",S35-R35)</f>
        <v/>
      </c>
      <c r="U35" s="40">
        <f>IF(S35="","",IF(R35=0,0,(S35-R35)/ABS(R35)))</f>
        <v/>
      </c>
      <c r="V35" s="14">
        <f>V23+V24+V25+V26+V27+V28+V29+V30+V31+V32+V33+V34</f>
        <v/>
      </c>
      <c r="W35" s="38" t="n"/>
      <c r="X35" s="39">
        <f>IF(W35="","",W35-V35)</f>
        <v/>
      </c>
      <c r="Y35" s="40">
        <f>IF(W35="","",IF(V35=0,0,(W35-V35)/ABS(V35)))</f>
        <v/>
      </c>
      <c r="Z35" s="14">
        <f>Z23+Z24+Z25+Z26+Z27+Z28+Z29+Z30+Z31+Z32+Z33+Z34</f>
        <v/>
      </c>
      <c r="AA35" s="38" t="n"/>
      <c r="AB35" s="39">
        <f>IF(AA35="","",AA35-Z35)</f>
        <v/>
      </c>
      <c r="AC35" s="40">
        <f>IF(AA35="","",IF(Z35=0,0,(AA35-Z35)/ABS(Z35)))</f>
        <v/>
      </c>
      <c r="AD35" s="14">
        <f>AD23+AD24+AD25+AD26+AD27+AD28+AD29+AD30+AD31+AD32+AD33+AD34</f>
        <v/>
      </c>
      <c r="AE35" s="38" t="n"/>
      <c r="AF35" s="39">
        <f>IF(AE35="","",AE35-AD35)</f>
        <v/>
      </c>
      <c r="AG35" s="40">
        <f>IF(AE35="","",IF(AD35=0,0,(AE35-AD35)/ABS(AD35)))</f>
        <v/>
      </c>
      <c r="AH35" s="14">
        <f>AH23+AH24+AH25+AH26+AH27+AH28+AH29+AH30+AH31+AH32+AH33+AH34</f>
        <v/>
      </c>
      <c r="AI35" s="38" t="n"/>
      <c r="AJ35" s="39">
        <f>IF(AI35="","",AI35-AH35)</f>
        <v/>
      </c>
      <c r="AK35" s="40">
        <f>IF(AI35="","",IF(AH35=0,0,(AI35-AH35)/ABS(AH35)))</f>
        <v/>
      </c>
      <c r="AL35" s="14">
        <f>AL23+AL24+AL25+AL26+AL27+AL28+AL29+AL30+AL31+AL32+AL33+AL34</f>
        <v/>
      </c>
      <c r="AM35" s="38" t="n"/>
      <c r="AN35" s="39">
        <f>IF(AM35="","",AM35-AL35)</f>
        <v/>
      </c>
      <c r="AO35" s="40">
        <f>IF(AM35="","",IF(AL35=0,0,(AM35-AL35)/ABS(AL35)))</f>
        <v/>
      </c>
      <c r="AP35" s="14">
        <f>AP23+AP24+AP25+AP26+AP27+AP28+AP29+AP30+AP31+AP32+AP33+AP34</f>
        <v/>
      </c>
      <c r="AQ35" s="38" t="n"/>
      <c r="AR35" s="39">
        <f>IF(AQ35="","",AQ35-AP35)</f>
        <v/>
      </c>
      <c r="AS35" s="40">
        <f>IF(AQ35="","",IF(AP35=0,0,(AQ35-AP35)/ABS(AP35)))</f>
        <v/>
      </c>
      <c r="AT35" s="14">
        <f>AT23+AT24+AT25+AT26+AT27+AT28+AT29+AT30+AT31+AT32+AT33+AT34</f>
        <v/>
      </c>
      <c r="AU35" s="38" t="n"/>
      <c r="AV35" s="39">
        <f>IF(AU35="","",AU35-AT35)</f>
        <v/>
      </c>
      <c r="AW35" s="40">
        <f>IF(AU35="","",IF(AT35=0,0,(AU35-AT35)/ABS(AT35)))</f>
        <v/>
      </c>
      <c r="AX35" s="14">
        <f>B35+F35+J35+N35+R35+V35+Z35+AD35+AH35+AL35+AP35+AT35</f>
        <v/>
      </c>
      <c r="AY35" s="38">
        <f>SUM(C35,G35,K35,O35,S35,W35,AA35,AE35,AI35,AM35,AQ35,AU35)</f>
        <v/>
      </c>
    </row>
    <row r="36">
      <c r="A36" s="26" t="inlineStr">
        <is>
          <t xml:space="preserve">  Overhead as % of Revenue</t>
        </is>
      </c>
      <c r="B36" s="20">
        <f>IF(B10=0,0,B35/B10)</f>
        <v/>
      </c>
      <c r="C36" s="41" t="n"/>
      <c r="D36" s="40">
        <f>IF(C36="","",C36-B36)</f>
        <v/>
      </c>
      <c r="E36" s="40">
        <f>IF(C36="","",IF(B36=0,0,(C36-B36)/ABS(B36)))</f>
        <v/>
      </c>
      <c r="F36" s="20">
        <f>IF(F10=0,0,F35/F10)</f>
        <v/>
      </c>
      <c r="G36" s="41" t="n"/>
      <c r="H36" s="40">
        <f>IF(G36="","",G36-F36)</f>
        <v/>
      </c>
      <c r="I36" s="40">
        <f>IF(G36="","",IF(F36=0,0,(G36-F36)/ABS(F36)))</f>
        <v/>
      </c>
      <c r="J36" s="20">
        <f>IF(J10=0,0,J35/J10)</f>
        <v/>
      </c>
      <c r="K36" s="41" t="n"/>
      <c r="L36" s="40">
        <f>IF(K36="","",K36-J36)</f>
        <v/>
      </c>
      <c r="M36" s="40">
        <f>IF(K36="","",IF(J36=0,0,(K36-J36)/ABS(J36)))</f>
        <v/>
      </c>
      <c r="N36" s="20">
        <f>IF(N10=0,0,N35/N10)</f>
        <v/>
      </c>
      <c r="O36" s="41" t="n"/>
      <c r="P36" s="40">
        <f>IF(O36="","",O36-N36)</f>
        <v/>
      </c>
      <c r="Q36" s="40">
        <f>IF(O36="","",IF(N36=0,0,(O36-N36)/ABS(N36)))</f>
        <v/>
      </c>
      <c r="R36" s="20">
        <f>IF(R10=0,0,R35/R10)</f>
        <v/>
      </c>
      <c r="S36" s="41" t="n"/>
      <c r="T36" s="40">
        <f>IF(S36="","",S36-R36)</f>
        <v/>
      </c>
      <c r="U36" s="40">
        <f>IF(S36="","",IF(R36=0,0,(S36-R36)/ABS(R36)))</f>
        <v/>
      </c>
      <c r="V36" s="20">
        <f>IF(V10=0,0,V35/V10)</f>
        <v/>
      </c>
      <c r="W36" s="41" t="n"/>
      <c r="X36" s="40">
        <f>IF(W36="","",W36-V36)</f>
        <v/>
      </c>
      <c r="Y36" s="40">
        <f>IF(W36="","",IF(V36=0,0,(W36-V36)/ABS(V36)))</f>
        <v/>
      </c>
      <c r="Z36" s="20">
        <f>IF(Z10=0,0,Z35/Z10)</f>
        <v/>
      </c>
      <c r="AA36" s="41" t="n"/>
      <c r="AB36" s="40">
        <f>IF(AA36="","",AA36-Z36)</f>
        <v/>
      </c>
      <c r="AC36" s="40">
        <f>IF(AA36="","",IF(Z36=0,0,(AA36-Z36)/ABS(Z36)))</f>
        <v/>
      </c>
      <c r="AD36" s="20">
        <f>IF(AD10=0,0,AD35/AD10)</f>
        <v/>
      </c>
      <c r="AE36" s="41" t="n"/>
      <c r="AF36" s="40">
        <f>IF(AE36="","",AE36-AD36)</f>
        <v/>
      </c>
      <c r="AG36" s="40">
        <f>IF(AE36="","",IF(AD36=0,0,(AE36-AD36)/ABS(AD36)))</f>
        <v/>
      </c>
      <c r="AH36" s="20">
        <f>IF(AH10=0,0,AH35/AH10)</f>
        <v/>
      </c>
      <c r="AI36" s="41" t="n"/>
      <c r="AJ36" s="40">
        <f>IF(AI36="","",AI36-AH36)</f>
        <v/>
      </c>
      <c r="AK36" s="40">
        <f>IF(AI36="","",IF(AH36=0,0,(AI36-AH36)/ABS(AH36)))</f>
        <v/>
      </c>
      <c r="AL36" s="20">
        <f>IF(AL10=0,0,AL35/AL10)</f>
        <v/>
      </c>
      <c r="AM36" s="41" t="n"/>
      <c r="AN36" s="40">
        <f>IF(AM36="","",AM36-AL36)</f>
        <v/>
      </c>
      <c r="AO36" s="40">
        <f>IF(AM36="","",IF(AL36=0,0,(AM36-AL36)/ABS(AL36)))</f>
        <v/>
      </c>
      <c r="AP36" s="20">
        <f>IF(AP10=0,0,AP35/AP10)</f>
        <v/>
      </c>
      <c r="AQ36" s="41" t="n"/>
      <c r="AR36" s="40">
        <f>IF(AQ36="","",AQ36-AP36)</f>
        <v/>
      </c>
      <c r="AS36" s="40">
        <f>IF(AQ36="","",IF(AP36=0,0,(AQ36-AP36)/ABS(AP36)))</f>
        <v/>
      </c>
      <c r="AT36" s="20">
        <f>IF(AT10=0,0,AT35/AT10)</f>
        <v/>
      </c>
      <c r="AU36" s="41" t="n"/>
      <c r="AV36" s="40">
        <f>IF(AU36="","",AU36-AT36)</f>
        <v/>
      </c>
      <c r="AW36" s="40">
        <f>IF(AU36="","",IF(AT36=0,0,(AU36-AT36)/ABS(AT36)))</f>
        <v/>
      </c>
      <c r="AX36" s="20">
        <f>B36+F36+J36+N36+R36+V36+Z36+AD36+AH36+AL36+AP36+AT36</f>
        <v/>
      </c>
      <c r="AY36" s="41">
        <f>SUM(C36,G36,K36,O36,S36,W36,AA36,AE36,AI36,AM36,AQ36,AU36)</f>
        <v/>
      </c>
    </row>
    <row r="37"/>
    <row r="38">
      <c r="A38" s="17" t="inlineStr">
        <is>
          <t>PROFIT BEFORE TAXES (EBITDA)</t>
        </is>
      </c>
      <c r="B38" s="14">
        <f>B19-B35</f>
        <v/>
      </c>
      <c r="C38" s="38" t="n"/>
      <c r="D38" s="39">
        <f>IF(C38="","",C38-B38)</f>
        <v/>
      </c>
      <c r="E38" s="40">
        <f>IF(C38="","",IF(B38=0,0,(C38-B38)/ABS(B38)))</f>
        <v/>
      </c>
      <c r="F38" s="14">
        <f>F19-F35</f>
        <v/>
      </c>
      <c r="G38" s="38" t="n"/>
      <c r="H38" s="39">
        <f>IF(G38="","",G38-F38)</f>
        <v/>
      </c>
      <c r="I38" s="40">
        <f>IF(G38="","",IF(F38=0,0,(G38-F38)/ABS(F38)))</f>
        <v/>
      </c>
      <c r="J38" s="14">
        <f>J19-J35</f>
        <v/>
      </c>
      <c r="K38" s="38" t="n"/>
      <c r="L38" s="39">
        <f>IF(K38="","",K38-J38)</f>
        <v/>
      </c>
      <c r="M38" s="40">
        <f>IF(K38="","",IF(J38=0,0,(K38-J38)/ABS(J38)))</f>
        <v/>
      </c>
      <c r="N38" s="14">
        <f>N19-N35</f>
        <v/>
      </c>
      <c r="O38" s="38" t="n"/>
      <c r="P38" s="39">
        <f>IF(O38="","",O38-N38)</f>
        <v/>
      </c>
      <c r="Q38" s="40">
        <f>IF(O38="","",IF(N38=0,0,(O38-N38)/ABS(N38)))</f>
        <v/>
      </c>
      <c r="R38" s="14">
        <f>R19-R35</f>
        <v/>
      </c>
      <c r="S38" s="38" t="n"/>
      <c r="T38" s="39">
        <f>IF(S38="","",S38-R38)</f>
        <v/>
      </c>
      <c r="U38" s="40">
        <f>IF(S38="","",IF(R38=0,0,(S38-R38)/ABS(R38)))</f>
        <v/>
      </c>
      <c r="V38" s="14">
        <f>V19-V35</f>
        <v/>
      </c>
      <c r="W38" s="38" t="n"/>
      <c r="X38" s="39">
        <f>IF(W38="","",W38-V38)</f>
        <v/>
      </c>
      <c r="Y38" s="40">
        <f>IF(W38="","",IF(V38=0,0,(W38-V38)/ABS(V38)))</f>
        <v/>
      </c>
      <c r="Z38" s="14">
        <f>Z19-Z35</f>
        <v/>
      </c>
      <c r="AA38" s="38" t="n"/>
      <c r="AB38" s="39">
        <f>IF(AA38="","",AA38-Z38)</f>
        <v/>
      </c>
      <c r="AC38" s="40">
        <f>IF(AA38="","",IF(Z38=0,0,(AA38-Z38)/ABS(Z38)))</f>
        <v/>
      </c>
      <c r="AD38" s="14">
        <f>AD19-AD35</f>
        <v/>
      </c>
      <c r="AE38" s="38" t="n"/>
      <c r="AF38" s="39">
        <f>IF(AE38="","",AE38-AD38)</f>
        <v/>
      </c>
      <c r="AG38" s="40">
        <f>IF(AE38="","",IF(AD38=0,0,(AE38-AD38)/ABS(AD38)))</f>
        <v/>
      </c>
      <c r="AH38" s="14">
        <f>AH19-AH35</f>
        <v/>
      </c>
      <c r="AI38" s="38" t="n"/>
      <c r="AJ38" s="39">
        <f>IF(AI38="","",AI38-AH38)</f>
        <v/>
      </c>
      <c r="AK38" s="40">
        <f>IF(AI38="","",IF(AH38=0,0,(AI38-AH38)/ABS(AH38)))</f>
        <v/>
      </c>
      <c r="AL38" s="14">
        <f>AL19-AL35</f>
        <v/>
      </c>
      <c r="AM38" s="38" t="n"/>
      <c r="AN38" s="39">
        <f>IF(AM38="","",AM38-AL38)</f>
        <v/>
      </c>
      <c r="AO38" s="40">
        <f>IF(AM38="","",IF(AL38=0,0,(AM38-AL38)/ABS(AL38)))</f>
        <v/>
      </c>
      <c r="AP38" s="14">
        <f>AP19-AP35</f>
        <v/>
      </c>
      <c r="AQ38" s="38" t="n"/>
      <c r="AR38" s="39">
        <f>IF(AQ38="","",AQ38-AP38)</f>
        <v/>
      </c>
      <c r="AS38" s="40">
        <f>IF(AQ38="","",IF(AP38=0,0,(AQ38-AP38)/ABS(AP38)))</f>
        <v/>
      </c>
      <c r="AT38" s="14">
        <f>AT19-AT35</f>
        <v/>
      </c>
      <c r="AU38" s="38" t="n"/>
      <c r="AV38" s="39">
        <f>IF(AU38="","",AU38-AT38)</f>
        <v/>
      </c>
      <c r="AW38" s="40">
        <f>IF(AU38="","",IF(AT38=0,0,(AU38-AT38)/ABS(AT38)))</f>
        <v/>
      </c>
      <c r="AX38" s="14">
        <f>B38+F38+J38+N38+R38+V38+Z38+AD38+AH38+AL38+AP38+AT38</f>
        <v/>
      </c>
      <c r="AY38" s="38">
        <f>SUM(C38,G38,K38,O38,S38,W38,AA38,AE38,AI38,AM38,AQ38,AU38)</f>
        <v/>
      </c>
    </row>
    <row r="39">
      <c r="A39" s="26" t="inlineStr">
        <is>
          <t xml:space="preserve">  Profit Before Taxes % (EBITDA Margin)</t>
        </is>
      </c>
      <c r="B39" s="20">
        <f>IF(B10=0,0,B38/B10)</f>
        <v/>
      </c>
      <c r="C39" s="41" t="n"/>
      <c r="D39" s="40">
        <f>IF(C39="","",C39-B39)</f>
        <v/>
      </c>
      <c r="E39" s="40">
        <f>IF(C39="","",IF(B39=0,0,(C39-B39)/ABS(B39)))</f>
        <v/>
      </c>
      <c r="F39" s="20">
        <f>IF(F10=0,0,F38/F10)</f>
        <v/>
      </c>
      <c r="G39" s="41" t="n"/>
      <c r="H39" s="40">
        <f>IF(G39="","",G39-F39)</f>
        <v/>
      </c>
      <c r="I39" s="40">
        <f>IF(G39="","",IF(F39=0,0,(G39-F39)/ABS(F39)))</f>
        <v/>
      </c>
      <c r="J39" s="20">
        <f>IF(J10=0,0,J38/J10)</f>
        <v/>
      </c>
      <c r="K39" s="41" t="n"/>
      <c r="L39" s="40">
        <f>IF(K39="","",K39-J39)</f>
        <v/>
      </c>
      <c r="M39" s="40">
        <f>IF(K39="","",IF(J39=0,0,(K39-J39)/ABS(J39)))</f>
        <v/>
      </c>
      <c r="N39" s="20">
        <f>IF(N10=0,0,N38/N10)</f>
        <v/>
      </c>
      <c r="O39" s="41" t="n"/>
      <c r="P39" s="40">
        <f>IF(O39="","",O39-N39)</f>
        <v/>
      </c>
      <c r="Q39" s="40">
        <f>IF(O39="","",IF(N39=0,0,(O39-N39)/ABS(N39)))</f>
        <v/>
      </c>
      <c r="R39" s="20">
        <f>IF(R10=0,0,R38/R10)</f>
        <v/>
      </c>
      <c r="S39" s="41" t="n"/>
      <c r="T39" s="40">
        <f>IF(S39="","",S39-R39)</f>
        <v/>
      </c>
      <c r="U39" s="40">
        <f>IF(S39="","",IF(R39=0,0,(S39-R39)/ABS(R39)))</f>
        <v/>
      </c>
      <c r="V39" s="20">
        <f>IF(V10=0,0,V38/V10)</f>
        <v/>
      </c>
      <c r="W39" s="41" t="n"/>
      <c r="X39" s="40">
        <f>IF(W39="","",W39-V39)</f>
        <v/>
      </c>
      <c r="Y39" s="40">
        <f>IF(W39="","",IF(V39=0,0,(W39-V39)/ABS(V39)))</f>
        <v/>
      </c>
      <c r="Z39" s="20">
        <f>IF(Z10=0,0,Z38/Z10)</f>
        <v/>
      </c>
      <c r="AA39" s="41" t="n"/>
      <c r="AB39" s="40">
        <f>IF(AA39="","",AA39-Z39)</f>
        <v/>
      </c>
      <c r="AC39" s="40">
        <f>IF(AA39="","",IF(Z39=0,0,(AA39-Z39)/ABS(Z39)))</f>
        <v/>
      </c>
      <c r="AD39" s="20">
        <f>IF(AD10=0,0,AD38/AD10)</f>
        <v/>
      </c>
      <c r="AE39" s="41" t="n"/>
      <c r="AF39" s="40">
        <f>IF(AE39="","",AE39-AD39)</f>
        <v/>
      </c>
      <c r="AG39" s="40">
        <f>IF(AE39="","",IF(AD39=0,0,(AE39-AD39)/ABS(AD39)))</f>
        <v/>
      </c>
      <c r="AH39" s="20">
        <f>IF(AH10=0,0,AH38/AH10)</f>
        <v/>
      </c>
      <c r="AI39" s="41" t="n"/>
      <c r="AJ39" s="40">
        <f>IF(AI39="","",AI39-AH39)</f>
        <v/>
      </c>
      <c r="AK39" s="40">
        <f>IF(AI39="","",IF(AH39=0,0,(AI39-AH39)/ABS(AH39)))</f>
        <v/>
      </c>
      <c r="AL39" s="20">
        <f>IF(AL10=0,0,AL38/AL10)</f>
        <v/>
      </c>
      <c r="AM39" s="41" t="n"/>
      <c r="AN39" s="40">
        <f>IF(AM39="","",AM39-AL39)</f>
        <v/>
      </c>
      <c r="AO39" s="40">
        <f>IF(AM39="","",IF(AL39=0,0,(AM39-AL39)/ABS(AL39)))</f>
        <v/>
      </c>
      <c r="AP39" s="20">
        <f>IF(AP10=0,0,AP38/AP10)</f>
        <v/>
      </c>
      <c r="AQ39" s="41" t="n"/>
      <c r="AR39" s="40">
        <f>IF(AQ39="","",AQ39-AP39)</f>
        <v/>
      </c>
      <c r="AS39" s="40">
        <f>IF(AQ39="","",IF(AP39=0,0,(AQ39-AP39)/ABS(AP39)))</f>
        <v/>
      </c>
      <c r="AT39" s="20">
        <f>IF(AT10=0,0,AT38/AT10)</f>
        <v/>
      </c>
      <c r="AU39" s="41" t="n"/>
      <c r="AV39" s="40">
        <f>IF(AU39="","",AU39-AT39)</f>
        <v/>
      </c>
      <c r="AW39" s="40">
        <f>IF(AU39="","",IF(AT39=0,0,(AU39-AT39)/ABS(AT39)))</f>
        <v/>
      </c>
      <c r="AX39" s="20">
        <f>B39+F39+J39+N39+R39+V39+Z39+AD39+AH39+AL39+AP39+AT39</f>
        <v/>
      </c>
      <c r="AY39" s="41">
        <f>SUM(C39,G39,K39,O39,S39,W39,AA39,AE39,AI39,AM39,AQ39,AU39)</f>
        <v/>
      </c>
    </row>
    <row r="40">
      <c r="A40" s="26" t="inlineStr">
        <is>
          <t xml:space="preserve">  Labor as % of Revenue</t>
        </is>
      </c>
      <c r="B40" s="20">
        <f>IF(B10=0,0,B13/B10)</f>
        <v/>
      </c>
      <c r="C40" s="41" t="n"/>
      <c r="D40" s="40">
        <f>IF(C40="","",C40-B40)</f>
        <v/>
      </c>
      <c r="E40" s="40">
        <f>IF(C40="","",IF(B40=0,0,(C40-B40)/ABS(B40)))</f>
        <v/>
      </c>
      <c r="F40" s="20">
        <f>IF(F10=0,0,F13/F10)</f>
        <v/>
      </c>
      <c r="G40" s="41" t="n"/>
      <c r="H40" s="40">
        <f>IF(G40="","",G40-F40)</f>
        <v/>
      </c>
      <c r="I40" s="40">
        <f>IF(G40="","",IF(F40=0,0,(G40-F40)/ABS(F40)))</f>
        <v/>
      </c>
      <c r="J40" s="20">
        <f>IF(J10=0,0,J13/J10)</f>
        <v/>
      </c>
      <c r="K40" s="41" t="n"/>
      <c r="L40" s="40">
        <f>IF(K40="","",K40-J40)</f>
        <v/>
      </c>
      <c r="M40" s="40">
        <f>IF(K40="","",IF(J40=0,0,(K40-J40)/ABS(J40)))</f>
        <v/>
      </c>
      <c r="N40" s="20">
        <f>IF(N10=0,0,N13/N10)</f>
        <v/>
      </c>
      <c r="O40" s="41" t="n"/>
      <c r="P40" s="40">
        <f>IF(O40="","",O40-N40)</f>
        <v/>
      </c>
      <c r="Q40" s="40">
        <f>IF(O40="","",IF(N40=0,0,(O40-N40)/ABS(N40)))</f>
        <v/>
      </c>
      <c r="R40" s="20">
        <f>IF(R10=0,0,R13/R10)</f>
        <v/>
      </c>
      <c r="S40" s="41" t="n"/>
      <c r="T40" s="40">
        <f>IF(S40="","",S40-R40)</f>
        <v/>
      </c>
      <c r="U40" s="40">
        <f>IF(S40="","",IF(R40=0,0,(S40-R40)/ABS(R40)))</f>
        <v/>
      </c>
      <c r="V40" s="20">
        <f>IF(V10=0,0,V13/V10)</f>
        <v/>
      </c>
      <c r="W40" s="41" t="n"/>
      <c r="X40" s="40">
        <f>IF(W40="","",W40-V40)</f>
        <v/>
      </c>
      <c r="Y40" s="40">
        <f>IF(W40="","",IF(V40=0,0,(W40-V40)/ABS(V40)))</f>
        <v/>
      </c>
      <c r="Z40" s="20">
        <f>IF(Z10=0,0,Z13/Z10)</f>
        <v/>
      </c>
      <c r="AA40" s="41" t="n"/>
      <c r="AB40" s="40">
        <f>IF(AA40="","",AA40-Z40)</f>
        <v/>
      </c>
      <c r="AC40" s="40">
        <f>IF(AA40="","",IF(Z40=0,0,(AA40-Z40)/ABS(Z40)))</f>
        <v/>
      </c>
      <c r="AD40" s="20">
        <f>IF(AD10=0,0,AD13/AD10)</f>
        <v/>
      </c>
      <c r="AE40" s="41" t="n"/>
      <c r="AF40" s="40">
        <f>IF(AE40="","",AE40-AD40)</f>
        <v/>
      </c>
      <c r="AG40" s="40">
        <f>IF(AE40="","",IF(AD40=0,0,(AE40-AD40)/ABS(AD40)))</f>
        <v/>
      </c>
      <c r="AH40" s="20">
        <f>IF(AH10=0,0,AH13/AH10)</f>
        <v/>
      </c>
      <c r="AI40" s="41" t="n"/>
      <c r="AJ40" s="40">
        <f>IF(AI40="","",AI40-AH40)</f>
        <v/>
      </c>
      <c r="AK40" s="40">
        <f>IF(AI40="","",IF(AH40=0,0,(AI40-AH40)/ABS(AH40)))</f>
        <v/>
      </c>
      <c r="AL40" s="20">
        <f>IF(AL10=0,0,AL13/AL10)</f>
        <v/>
      </c>
      <c r="AM40" s="41" t="n"/>
      <c r="AN40" s="40">
        <f>IF(AM40="","",AM40-AL40)</f>
        <v/>
      </c>
      <c r="AO40" s="40">
        <f>IF(AM40="","",IF(AL40=0,0,(AM40-AL40)/ABS(AL40)))</f>
        <v/>
      </c>
      <c r="AP40" s="20">
        <f>IF(AP10=0,0,AP13/AP10)</f>
        <v/>
      </c>
      <c r="AQ40" s="41" t="n"/>
      <c r="AR40" s="40">
        <f>IF(AQ40="","",AQ40-AP40)</f>
        <v/>
      </c>
      <c r="AS40" s="40">
        <f>IF(AQ40="","",IF(AP40=0,0,(AQ40-AP40)/ABS(AP40)))</f>
        <v/>
      </c>
      <c r="AT40" s="20">
        <f>IF(AT10=0,0,AT13/AT10)</f>
        <v/>
      </c>
      <c r="AU40" s="41" t="n"/>
      <c r="AV40" s="40">
        <f>IF(AU40="","",AU40-AT40)</f>
        <v/>
      </c>
      <c r="AW40" s="40">
        <f>IF(AU40="","",IF(AT40=0,0,(AU40-AT40)/ABS(AT40)))</f>
        <v/>
      </c>
      <c r="AX40" s="20">
        <f>B40+F40+J40+N40+R40+V40+Z40+AD40+AH40+AL40+AP40+AT40</f>
        <v/>
      </c>
      <c r="AY40" s="41">
        <f>SUM(C40,G40,K40,O40,S40,W40,AA40,AE40,AI40,AM40,AQ40,AU40)</f>
        <v/>
      </c>
    </row>
  </sheetData>
  <sheetProtection selectLockedCells="0" selectUnlockedCells="0" sheet="1" objects="0" insertRows="1" insertHyperlinks="1" autoFilter="0" scenarios="0" formatColumns="0" deleteColumns="1" insertColumns="1" pivotTables="1" deleteRows="1" formatCells="0" formatRows="0" sort="0" password="CE4B"/>
  <mergeCells count="14">
    <mergeCell ref="R3:U3"/>
    <mergeCell ref="A1:J1"/>
    <mergeCell ref="AX3:AY3"/>
    <mergeCell ref="V3:Y3"/>
    <mergeCell ref="Z3:AC3"/>
    <mergeCell ref="F3:I3"/>
    <mergeCell ref="AD3:AG3"/>
    <mergeCell ref="J3:M3"/>
    <mergeCell ref="AT3:AW3"/>
    <mergeCell ref="N3:Q3"/>
    <mergeCell ref="AH3:AK3"/>
    <mergeCell ref="AL3:AO3"/>
    <mergeCell ref="B3:E3"/>
    <mergeCell ref="AP3:AS3"/>
  </mergeCells>
  <pageMargins left="0.75" right="0.75" top="1" bottom="1" header="0.5" footer="0.5"/>
  <headerFooter>
    <oddHeader/>
    <oddFooter>&amp;R&amp;9 &amp;K808080Generated by Endall | endall.ai</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42" customWidth="1" min="1" max="1"/>
    <col width="18" customWidth="1" min="2" max="2"/>
    <col width="16" customWidth="1" min="3" max="3"/>
    <col width="40" customWidth="1" min="4" max="4"/>
    <col width="21" customWidth="1" min="5" max="5"/>
    <col width="25" customWidth="1" min="6" max="6"/>
    <col width="19" customWidth="1" min="7" max="7"/>
    <col width="26" customWidth="1" min="8" max="8"/>
    <col width="24" customWidth="1" min="9" max="9"/>
    <col width="15" customWidth="1" min="10" max="10"/>
  </cols>
  <sheetData>
    <row r="1">
      <c r="A1" s="1" t="inlineStr">
        <is>
          <t>Job Margin Tracker</t>
        </is>
      </c>
    </row>
    <row r="2">
      <c r="A2" s="23" t="inlineStr">
        <is>
          <t>Log each job below. Total Cost and Margin % calculate automatically.</t>
        </is>
      </c>
    </row>
    <row r="3"/>
    <row r="4">
      <c r="A4" s="42" t="inlineStr">
        <is>
          <t>Job Name</t>
        </is>
      </c>
      <c r="B4" s="42" t="inlineStr">
        <is>
          <t>Customer</t>
        </is>
      </c>
      <c r="C4" s="42" t="inlineStr">
        <is>
          <t>Revenue Type</t>
        </is>
      </c>
      <c r="D4" s="42" t="inlineStr">
        <is>
          <t>What You're Charging
(Contract Value)</t>
        </is>
      </c>
      <c r="E4" s="42" t="inlineStr">
        <is>
          <t>Labor
Cost to Date</t>
        </is>
      </c>
      <c r="F4" s="42" t="inlineStr">
        <is>
          <t>Materials
Cost to Date</t>
        </is>
      </c>
      <c r="G4" s="42" t="inlineStr">
        <is>
          <t>Sub
Cost to Date</t>
        </is>
      </c>
      <c r="H4" s="42" t="inlineStr">
        <is>
          <t>Total Cost
(Calculated)</t>
        </is>
      </c>
      <c r="I4" s="42" t="inlineStr">
        <is>
          <t>Margin %
(Calculated)</t>
        </is>
      </c>
      <c r="J4" s="42" t="inlineStr">
        <is>
          <t>Status</t>
        </is>
      </c>
    </row>
    <row r="5">
      <c r="A5" s="43" t="inlineStr">
        <is>
          <t>[Sample -- replace with your jobs]</t>
        </is>
      </c>
      <c r="B5" s="43" t="inlineStr">
        <is>
          <t>Customer 1</t>
        </is>
      </c>
      <c r="C5" s="43" t="inlineStr">
        <is>
          <t>Commercial</t>
        </is>
      </c>
      <c r="D5" s="21" t="n">
        <v>150000</v>
      </c>
      <c r="E5" s="21" t="n">
        <v>35000</v>
      </c>
      <c r="F5" s="21" t="n">
        <v>28000</v>
      </c>
      <c r="G5" s="21" t="n">
        <v>15000</v>
      </c>
      <c r="H5" s="18">
        <f>IF(AND(E5="",F5="",G5=""),"",E5+F5+G5)</f>
        <v/>
      </c>
      <c r="I5" s="20">
        <f>IF(OR(D5="",H5=""),"",IF(D5=0,0,(D5-H5)/D5))</f>
        <v/>
      </c>
      <c r="J5" s="43" t="inlineStr">
        <is>
          <t>In Progress</t>
        </is>
      </c>
    </row>
    <row r="6">
      <c r="A6" s="43" t="inlineStr">
        <is>
          <t>[Sample -- replace with your jobs]</t>
        </is>
      </c>
      <c r="B6" s="43" t="inlineStr">
        <is>
          <t>Customer 2</t>
        </is>
      </c>
      <c r="C6" s="43" t="inlineStr">
        <is>
          <t>Residential</t>
        </is>
      </c>
      <c r="D6" s="21" t="n">
        <v>75000</v>
      </c>
      <c r="E6" s="21" t="n">
        <v>18000</v>
      </c>
      <c r="F6" s="21" t="n">
        <v>12000</v>
      </c>
      <c r="G6" s="21" t="n">
        <v>5000</v>
      </c>
      <c r="H6" s="18">
        <f>IF(AND(E6="",F6="",G6=""),"",E6+F6+G6)</f>
        <v/>
      </c>
      <c r="I6" s="20">
        <f>IF(OR(D6="",H6=""),"",IF(D6=0,0,(D6-H6)/D6))</f>
        <v/>
      </c>
      <c r="J6" s="43" t="inlineStr">
        <is>
          <t>In Progress</t>
        </is>
      </c>
    </row>
    <row r="7">
      <c r="A7" s="43" t="n"/>
      <c r="B7" s="43" t="n"/>
      <c r="C7" s="43" t="n"/>
      <c r="D7" s="21" t="n"/>
      <c r="E7" s="21" t="n"/>
      <c r="F7" s="21" t="n"/>
      <c r="G7" s="21" t="n"/>
      <c r="H7" s="18">
        <f>IF(AND(E7="",F7="",G7=""),"",E7+F7+G7)</f>
        <v/>
      </c>
      <c r="I7" s="20">
        <f>IF(OR(D7="",H7=""),"",IF(D7=0,0,(D7-H7)/D7))</f>
        <v/>
      </c>
      <c r="J7" s="43" t="n"/>
    </row>
    <row r="8">
      <c r="A8" s="43" t="n"/>
      <c r="B8" s="43" t="n"/>
      <c r="C8" s="43" t="n"/>
      <c r="D8" s="21" t="n"/>
      <c r="E8" s="21" t="n"/>
      <c r="F8" s="21" t="n"/>
      <c r="G8" s="21" t="n"/>
      <c r="H8" s="18">
        <f>IF(AND(E8="",F8="",G8=""),"",E8+F8+G8)</f>
        <v/>
      </c>
      <c r="I8" s="20">
        <f>IF(OR(D8="",H8=""),"",IF(D8=0,0,(D8-H8)/D8))</f>
        <v/>
      </c>
      <c r="J8" s="43" t="n"/>
    </row>
    <row r="9">
      <c r="A9" s="43" t="n"/>
      <c r="B9" s="43" t="n"/>
      <c r="C9" s="43" t="n"/>
      <c r="D9" s="21" t="n"/>
      <c r="E9" s="21" t="n"/>
      <c r="F9" s="21" t="n"/>
      <c r="G9" s="21" t="n"/>
      <c r="H9" s="18">
        <f>IF(AND(E9="",F9="",G9=""),"",E9+F9+G9)</f>
        <v/>
      </c>
      <c r="I9" s="20">
        <f>IF(OR(D9="",H9=""),"",IF(D9=0,0,(D9-H9)/D9))</f>
        <v/>
      </c>
      <c r="J9" s="43" t="n"/>
    </row>
    <row r="10">
      <c r="A10" s="43" t="n"/>
      <c r="B10" s="43" t="n"/>
      <c r="C10" s="43" t="n"/>
      <c r="D10" s="21" t="n"/>
      <c r="E10" s="21" t="n"/>
      <c r="F10" s="21" t="n"/>
      <c r="G10" s="21" t="n"/>
      <c r="H10" s="18">
        <f>IF(AND(E10="",F10="",G10=""),"",E10+F10+G10)</f>
        <v/>
      </c>
      <c r="I10" s="20">
        <f>IF(OR(D10="",H10=""),"",IF(D10=0,0,(D10-H10)/D10))</f>
        <v/>
      </c>
      <c r="J10" s="43" t="n"/>
    </row>
    <row r="11">
      <c r="A11" s="43" t="n"/>
      <c r="B11" s="43" t="n"/>
      <c r="C11" s="43" t="n"/>
      <c r="D11" s="21" t="n"/>
      <c r="E11" s="21" t="n"/>
      <c r="F11" s="21" t="n"/>
      <c r="G11" s="21" t="n"/>
      <c r="H11" s="18">
        <f>IF(AND(E11="",F11="",G11=""),"",E11+F11+G11)</f>
        <v/>
      </c>
      <c r="I11" s="20">
        <f>IF(OR(D11="",H11=""),"",IF(D11=0,0,(D11-H11)/D11))</f>
        <v/>
      </c>
      <c r="J11" s="43" t="n"/>
    </row>
    <row r="12">
      <c r="A12" s="43" t="n"/>
      <c r="B12" s="43" t="n"/>
      <c r="C12" s="43" t="n"/>
      <c r="D12" s="21" t="n"/>
      <c r="E12" s="21" t="n"/>
      <c r="F12" s="21" t="n"/>
      <c r="G12" s="21" t="n"/>
      <c r="H12" s="18">
        <f>IF(AND(E12="",F12="",G12=""),"",E12+F12+G12)</f>
        <v/>
      </c>
      <c r="I12" s="20">
        <f>IF(OR(D12="",H12=""),"",IF(D12=0,0,(D12-H12)/D12))</f>
        <v/>
      </c>
      <c r="J12" s="43" t="n"/>
    </row>
    <row r="13">
      <c r="A13" s="43" t="n"/>
      <c r="B13" s="43" t="n"/>
      <c r="C13" s="43" t="n"/>
      <c r="D13" s="21" t="n"/>
      <c r="E13" s="21" t="n"/>
      <c r="F13" s="21" t="n"/>
      <c r="G13" s="21" t="n"/>
      <c r="H13" s="18">
        <f>IF(AND(E13="",F13="",G13=""),"",E13+F13+G13)</f>
        <v/>
      </c>
      <c r="I13" s="20">
        <f>IF(OR(D13="",H13=""),"",IF(D13=0,0,(D13-H13)/D13))</f>
        <v/>
      </c>
      <c r="J13" s="43" t="n"/>
    </row>
    <row r="14">
      <c r="A14" s="43" t="n"/>
      <c r="B14" s="43" t="n"/>
      <c r="C14" s="43" t="n"/>
      <c r="D14" s="21" t="n"/>
      <c r="E14" s="21" t="n"/>
      <c r="F14" s="21" t="n"/>
      <c r="G14" s="21" t="n"/>
      <c r="H14" s="18">
        <f>IF(AND(E14="",F14="",G14=""),"",E14+F14+G14)</f>
        <v/>
      </c>
      <c r="I14" s="20">
        <f>IF(OR(D14="",H14=""),"",IF(D14=0,0,(D14-H14)/D14))</f>
        <v/>
      </c>
      <c r="J14" s="43" t="n"/>
    </row>
    <row r="15">
      <c r="A15" s="43" t="n"/>
      <c r="B15" s="43" t="n"/>
      <c r="C15" s="43" t="n"/>
      <c r="D15" s="21" t="n"/>
      <c r="E15" s="21" t="n"/>
      <c r="F15" s="21" t="n"/>
      <c r="G15" s="21" t="n"/>
      <c r="H15" s="18">
        <f>IF(AND(E15="",F15="",G15=""),"",E15+F15+G15)</f>
        <v/>
      </c>
      <c r="I15" s="20">
        <f>IF(OR(D15="",H15=""),"",IF(D15=0,0,(D15-H15)/D15))</f>
        <v/>
      </c>
      <c r="J15" s="43" t="n"/>
    </row>
    <row r="16">
      <c r="A16" s="43" t="n"/>
      <c r="B16" s="43" t="n"/>
      <c r="C16" s="43" t="n"/>
      <c r="D16" s="21" t="n"/>
      <c r="E16" s="21" t="n"/>
      <c r="F16" s="21" t="n"/>
      <c r="G16" s="21" t="n"/>
      <c r="H16" s="18">
        <f>IF(AND(E16="",F16="",G16=""),"",E16+F16+G16)</f>
        <v/>
      </c>
      <c r="I16" s="20">
        <f>IF(OR(D16="",H16=""),"",IF(D16=0,0,(D16-H16)/D16))</f>
        <v/>
      </c>
      <c r="J16" s="43" t="n"/>
    </row>
    <row r="17"/>
    <row r="18">
      <c r="A18" s="3" t="inlineStr">
        <is>
          <t>SUMMARY</t>
        </is>
      </c>
      <c r="B18" s="4" t="inlineStr"/>
      <c r="C18" s="4" t="inlineStr"/>
      <c r="D18" s="4" t="inlineStr"/>
      <c r="E18" s="4" t="inlineStr"/>
      <c r="F18" s="4" t="inlineStr"/>
      <c r="G18" s="4" t="inlineStr"/>
      <c r="H18" s="4" t="inlineStr"/>
      <c r="I18" s="4" t="inlineStr"/>
      <c r="J18" s="4" t="inlineStr"/>
    </row>
    <row r="19">
      <c r="A19" s="44" t="inlineStr">
        <is>
          <t>Totals / Averages</t>
        </is>
      </c>
      <c r="C19" s="45">
        <f>COUNTA(A5:A16)</f>
        <v/>
      </c>
      <c r="D19" s="14">
        <f>SUM(D5:D16)</f>
        <v/>
      </c>
      <c r="H19" s="14">
        <f>SUM(H5:H16)</f>
        <v/>
      </c>
      <c r="I19" s="15">
        <f>IF(D19=0,0,(D19-H19)/D19)</f>
        <v/>
      </c>
    </row>
  </sheetData>
  <sheetProtection selectLockedCells="0" selectUnlockedCells="0" sheet="1" objects="0" insertRows="1" insertHyperlinks="1" autoFilter="0" scenarios="0" formatColumns="0" deleteColumns="1" insertColumns="1" pivotTables="1" deleteRows="1" formatCells="0" formatRows="0" sort="0" password="CE4B"/>
  <mergeCells count="2">
    <mergeCell ref="A1:J1"/>
    <mergeCell ref="A2:J2"/>
  </mergeCells>
  <dataValidations count="2">
    <dataValidation sqref="C5:C16" showDropDown="0" showInputMessage="0" showErrorMessage="0" allowBlank="1" error="Pick a revenue type" type="list">
      <formula1>"Commercial,Residential,Data Center,Service Agreements"</formula1>
    </dataValidation>
    <dataValidation sqref="J5:J16" showDropDown="0" showInputMessage="0" showErrorMessage="0" allowBlank="1" error="Pick a status" type="list">
      <formula1>"Bidding,In Progress,Complete,On Hold,Lost"</formula1>
    </dataValidation>
  </dataValidations>
  <pageMargins left="0.75" right="0.75" top="1" bottom="1" header="0.5" footer="0.5"/>
  <headerFooter>
    <oddHeader/>
    <oddFooter>&amp;R&amp;9 &amp;K808080Generated by Endall | endall.ai</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13-Week Cash Flow Forecast</t>
        </is>
      </c>
    </row>
    <row r="2">
      <c r="A2" s="23" t="inlineStr">
        <is>
          <t>Enter expected inflows and outflows each week. Ending cash rolls forward automatically.</t>
        </is>
      </c>
    </row>
    <row r="3"/>
    <row r="4">
      <c r="A4" s="29" t="inlineStr"/>
      <c r="B4" s="30" t="inlineStr">
        <is>
          <t>Week 1</t>
        </is>
      </c>
      <c r="C4" s="30" t="inlineStr">
        <is>
          <t>Week 2</t>
        </is>
      </c>
      <c r="D4" s="30" t="inlineStr">
        <is>
          <t>Week 3</t>
        </is>
      </c>
      <c r="E4" s="30" t="inlineStr">
        <is>
          <t>Week 4</t>
        </is>
      </c>
      <c r="F4" s="30" t="inlineStr">
        <is>
          <t>Week 5</t>
        </is>
      </c>
      <c r="G4" s="30" t="inlineStr">
        <is>
          <t>Week 6</t>
        </is>
      </c>
      <c r="H4" s="30" t="inlineStr">
        <is>
          <t>Week 7</t>
        </is>
      </c>
      <c r="I4" s="30" t="inlineStr">
        <is>
          <t>Week 8</t>
        </is>
      </c>
      <c r="J4" s="30" t="inlineStr">
        <is>
          <t>Week 9</t>
        </is>
      </c>
      <c r="K4" s="30" t="inlineStr">
        <is>
          <t>Week 10</t>
        </is>
      </c>
      <c r="L4" s="30" t="inlineStr">
        <is>
          <t>Week 11</t>
        </is>
      </c>
      <c r="M4" s="30" t="inlineStr">
        <is>
          <t>Week 12</t>
        </is>
      </c>
      <c r="N4" s="30" t="inlineStr">
        <is>
          <t>Week 13</t>
        </is>
      </c>
    </row>
    <row r="5">
      <c r="A5" s="44" t="inlineStr">
        <is>
          <t>Starting Cash</t>
        </is>
      </c>
      <c r="B5" s="14">
        <f>Assumptions!$B$49</f>
        <v/>
      </c>
      <c r="C5" s="14">
        <f>B12</f>
        <v/>
      </c>
      <c r="D5" s="14">
        <f>C12</f>
        <v/>
      </c>
      <c r="E5" s="14">
        <f>D12</f>
        <v/>
      </c>
      <c r="F5" s="14">
        <f>E12</f>
        <v/>
      </c>
      <c r="G5" s="14">
        <f>F12</f>
        <v/>
      </c>
      <c r="H5" s="14">
        <f>G12</f>
        <v/>
      </c>
      <c r="I5" s="14">
        <f>H12</f>
        <v/>
      </c>
      <c r="J5" s="14">
        <f>I12</f>
        <v/>
      </c>
      <c r="K5" s="14">
        <f>J12</f>
        <v/>
      </c>
      <c r="L5" s="14">
        <f>K12</f>
        <v/>
      </c>
      <c r="M5" s="14">
        <f>L12</f>
        <v/>
      </c>
      <c r="N5" s="14">
        <f>M12</f>
        <v/>
      </c>
    </row>
    <row r="6">
      <c r="A6" s="3" t="inlineStr">
        <is>
          <t>MONEY COMING IN (INFLOWS)</t>
        </is>
      </c>
      <c r="B6" s="4" t="inlineStr"/>
      <c r="C6" s="4" t="inlineStr"/>
      <c r="D6" s="4" t="inlineStr"/>
      <c r="E6" s="4" t="inlineStr"/>
      <c r="F6" s="4" t="inlineStr"/>
      <c r="G6" s="4" t="inlineStr"/>
      <c r="H6" s="4" t="inlineStr"/>
      <c r="I6" s="4" t="inlineStr"/>
      <c r="J6" s="4" t="inlineStr"/>
      <c r="K6" s="4" t="inlineStr"/>
      <c r="L6" s="4" t="inlineStr"/>
      <c r="M6" s="4" t="inlineStr"/>
      <c r="N6" s="4" t="inlineStr"/>
    </row>
    <row r="7">
      <c r="A7" s="17" t="inlineStr">
        <is>
          <t xml:space="preserve">  Collected from Customers (AR)</t>
        </is>
      </c>
      <c r="B7" s="21" t="n"/>
      <c r="C7" s="21" t="n"/>
      <c r="D7" s="21" t="n"/>
      <c r="E7" s="21" t="n"/>
      <c r="F7" s="21" t="n"/>
      <c r="G7" s="21" t="n"/>
      <c r="H7" s="21" t="n"/>
      <c r="I7" s="21" t="n"/>
      <c r="J7" s="21" t="n"/>
      <c r="K7" s="21" t="n"/>
      <c r="L7" s="21" t="n"/>
      <c r="M7" s="21" t="n"/>
      <c r="N7" s="21" t="n"/>
    </row>
    <row r="8">
      <c r="A8" s="17" t="inlineStr">
        <is>
          <t xml:space="preserve">  New Revenue Expected</t>
        </is>
      </c>
      <c r="B8" s="21" t="n"/>
      <c r="C8" s="21" t="n"/>
      <c r="D8" s="21" t="n"/>
      <c r="E8" s="21" t="n"/>
      <c r="F8" s="21" t="n"/>
      <c r="G8" s="21" t="n"/>
      <c r="H8" s="21" t="n"/>
      <c r="I8" s="21" t="n"/>
      <c r="J8" s="21" t="n"/>
      <c r="K8" s="21" t="n"/>
      <c r="L8" s="21" t="n"/>
      <c r="M8" s="21" t="n"/>
      <c r="N8" s="21" t="n"/>
    </row>
    <row r="9">
      <c r="A9" s="44" t="inlineStr">
        <is>
          <t>Total Inflows</t>
        </is>
      </c>
      <c r="B9" s="14">
        <f>B7+B8</f>
        <v/>
      </c>
      <c r="C9" s="14">
        <f>C7+C8</f>
        <v/>
      </c>
      <c r="D9" s="14">
        <f>D7+D8</f>
        <v/>
      </c>
      <c r="E9" s="14">
        <f>E7+E8</f>
        <v/>
      </c>
      <c r="F9" s="14">
        <f>F7+F8</f>
        <v/>
      </c>
      <c r="G9" s="14">
        <f>G7+G8</f>
        <v/>
      </c>
      <c r="H9" s="14">
        <f>H7+H8</f>
        <v/>
      </c>
      <c r="I9" s="14">
        <f>I7+I8</f>
        <v/>
      </c>
      <c r="J9" s="14">
        <f>J7+J8</f>
        <v/>
      </c>
      <c r="K9" s="14">
        <f>K7+K8</f>
        <v/>
      </c>
      <c r="L9" s="14">
        <f>L7+L8</f>
        <v/>
      </c>
      <c r="M9" s="14">
        <f>M7+M8</f>
        <v/>
      </c>
      <c r="N9" s="14">
        <f>N7+N8</f>
        <v/>
      </c>
    </row>
    <row r="10">
      <c r="A10" s="3" t="inlineStr">
        <is>
          <t>MONEY GOING OUT (OUTFLOWS)</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row>
    <row r="11">
      <c r="A11" s="17" t="inlineStr">
        <is>
          <t xml:space="preserve">  Payroll</t>
        </is>
      </c>
      <c r="B11" s="21" t="n"/>
      <c r="C11" s="21" t="n"/>
      <c r="D11" s="21" t="n"/>
      <c r="E11" s="21" t="n"/>
      <c r="F11" s="21" t="n"/>
      <c r="G11" s="21" t="n"/>
      <c r="H11" s="21" t="n"/>
      <c r="I11" s="21" t="n"/>
      <c r="J11" s="21" t="n"/>
      <c r="K11" s="21" t="n"/>
      <c r="L11" s="21" t="n"/>
      <c r="M11" s="21" t="n"/>
      <c r="N11" s="21" t="n"/>
    </row>
    <row r="12">
      <c r="A12" s="17" t="inlineStr">
        <is>
          <t xml:space="preserve">  Materials</t>
        </is>
      </c>
      <c r="B12" s="21" t="n"/>
      <c r="C12" s="21" t="n"/>
      <c r="D12" s="21" t="n"/>
      <c r="E12" s="21" t="n"/>
      <c r="F12" s="21" t="n"/>
      <c r="G12" s="21" t="n"/>
      <c r="H12" s="21" t="n"/>
      <c r="I12" s="21" t="n"/>
      <c r="J12" s="21" t="n"/>
      <c r="K12" s="21" t="n"/>
      <c r="L12" s="21" t="n"/>
      <c r="M12" s="21" t="n"/>
      <c r="N12" s="21" t="n"/>
    </row>
    <row r="13">
      <c r="A13" s="17" t="inlineStr">
        <is>
          <t xml:space="preserve">  Subcontractors</t>
        </is>
      </c>
      <c r="B13" s="21" t="n"/>
      <c r="C13" s="21" t="n"/>
      <c r="D13" s="21" t="n"/>
      <c r="E13" s="21" t="n"/>
      <c r="F13" s="21" t="n"/>
      <c r="G13" s="21" t="n"/>
      <c r="H13" s="21" t="n"/>
      <c r="I13" s="21" t="n"/>
      <c r="J13" s="21" t="n"/>
      <c r="K13" s="21" t="n"/>
      <c r="L13" s="21" t="n"/>
      <c r="M13" s="21" t="n"/>
      <c r="N13" s="21" t="n"/>
    </row>
    <row r="14">
      <c r="A14" s="17" t="inlineStr">
        <is>
          <t xml:space="preserve">  Fixed Costs (from Assumptions)</t>
        </is>
      </c>
      <c r="B14" s="18">
        <f>Assumptions!$B$40/4.33</f>
        <v/>
      </c>
      <c r="C14" s="18">
        <f>Assumptions!$B$40/4.33</f>
        <v/>
      </c>
      <c r="D14" s="18">
        <f>Assumptions!$B$40/4.33</f>
        <v/>
      </c>
      <c r="E14" s="18">
        <f>Assumptions!$B$40/4.33</f>
        <v/>
      </c>
      <c r="F14" s="18">
        <f>Assumptions!$B$40/4.33</f>
        <v/>
      </c>
      <c r="G14" s="18">
        <f>Assumptions!$B$40/4.33</f>
        <v/>
      </c>
      <c r="H14" s="18">
        <f>Assumptions!$B$40/4.33</f>
        <v/>
      </c>
      <c r="I14" s="18">
        <f>Assumptions!$B$40/4.33</f>
        <v/>
      </c>
      <c r="J14" s="18">
        <f>Assumptions!$B$40/4.33</f>
        <v/>
      </c>
      <c r="K14" s="18">
        <f>Assumptions!$B$40/4.33</f>
        <v/>
      </c>
      <c r="L14" s="18">
        <f>Assumptions!$B$40/4.33</f>
        <v/>
      </c>
      <c r="M14" s="18">
        <f>Assumptions!$B$40/4.33</f>
        <v/>
      </c>
      <c r="N14" s="18">
        <f>Assumptions!$B$40/4.33</f>
        <v/>
      </c>
    </row>
    <row r="15">
      <c r="A15" s="44" t="inlineStr">
        <is>
          <t>Total Outflows</t>
        </is>
      </c>
      <c r="B15" s="14">
        <f>B11+B12+B13+B14</f>
        <v/>
      </c>
      <c r="C15" s="14">
        <f>C11+C12+C13+C14</f>
        <v/>
      </c>
      <c r="D15" s="14">
        <f>D11+D12+D13+D14</f>
        <v/>
      </c>
      <c r="E15" s="14">
        <f>E11+E12+E13+E14</f>
        <v/>
      </c>
      <c r="F15" s="14">
        <f>F11+F12+F13+F14</f>
        <v/>
      </c>
      <c r="G15" s="14">
        <f>G11+G12+G13+G14</f>
        <v/>
      </c>
      <c r="H15" s="14">
        <f>H11+H12+H13+H14</f>
        <v/>
      </c>
      <c r="I15" s="14">
        <f>I11+I12+I13+I14</f>
        <v/>
      </c>
      <c r="J15" s="14">
        <f>J11+J12+J13+J14</f>
        <v/>
      </c>
      <c r="K15" s="14">
        <f>K11+K12+K13+K14</f>
        <v/>
      </c>
      <c r="L15" s="14">
        <f>L11+L12+L13+L14</f>
        <v/>
      </c>
      <c r="M15" s="14">
        <f>M11+M12+M13+M14</f>
        <v/>
      </c>
      <c r="N15" s="14">
        <f>N11+N12+N13+N14</f>
        <v/>
      </c>
    </row>
    <row r="16">
      <c r="A16" s="44" t="inlineStr">
        <is>
          <t>Net Cash Flow</t>
        </is>
      </c>
      <c r="B16" s="46">
        <f>B9-B15</f>
        <v/>
      </c>
      <c r="C16" s="46">
        <f>C9-C15</f>
        <v/>
      </c>
      <c r="D16" s="46">
        <f>D9-D15</f>
        <v/>
      </c>
      <c r="E16" s="46">
        <f>E9-E15</f>
        <v/>
      </c>
      <c r="F16" s="46">
        <f>F9-F15</f>
        <v/>
      </c>
      <c r="G16" s="46">
        <f>G9-G15</f>
        <v/>
      </c>
      <c r="H16" s="46">
        <f>H9-H15</f>
        <v/>
      </c>
      <c r="I16" s="46">
        <f>I9-I15</f>
        <v/>
      </c>
      <c r="J16" s="46">
        <f>J9-J15</f>
        <v/>
      </c>
      <c r="K16" s="46">
        <f>K9-K15</f>
        <v/>
      </c>
      <c r="L16" s="46">
        <f>L9-L15</f>
        <v/>
      </c>
      <c r="M16" s="46">
        <f>M9-M15</f>
        <v/>
      </c>
      <c r="N16" s="46">
        <f>N9-N15</f>
        <v/>
      </c>
    </row>
    <row r="17">
      <c r="A17" s="47" t="inlineStr">
        <is>
          <t>Ending Cash</t>
        </is>
      </c>
      <c r="B17" s="14">
        <f>B5+B9-B15</f>
        <v/>
      </c>
      <c r="C17" s="14">
        <f>C5+C9-C15</f>
        <v/>
      </c>
      <c r="D17" s="14">
        <f>D5+D9-D15</f>
        <v/>
      </c>
      <c r="E17" s="14">
        <f>E5+E9-E15</f>
        <v/>
      </c>
      <c r="F17" s="14">
        <f>F5+F9-F15</f>
        <v/>
      </c>
      <c r="G17" s="14">
        <f>G5+G9-G15</f>
        <v/>
      </c>
      <c r="H17" s="14">
        <f>H5+H9-H15</f>
        <v/>
      </c>
      <c r="I17" s="14">
        <f>I5+I9-I15</f>
        <v/>
      </c>
      <c r="J17" s="14">
        <f>J5+J9-J15</f>
        <v/>
      </c>
      <c r="K17" s="14">
        <f>K5+K9-K15</f>
        <v/>
      </c>
      <c r="L17" s="14">
        <f>L5+L9-L15</f>
        <v/>
      </c>
      <c r="M17" s="14">
        <f>M5+M9-M15</f>
        <v/>
      </c>
      <c r="N17" s="14">
        <f>N5+N9-N15</f>
        <v/>
      </c>
    </row>
  </sheetData>
  <sheetProtection selectLockedCells="0" selectUnlockedCells="0" sheet="1" objects="0" insertRows="1" insertHyperlinks="1" autoFilter="0" scenarios="0" formatColumns="0" deleteColumns="1" insertColumns="1" pivotTables="1" deleteRows="1" formatCells="0" formatRows="0" sort="0" password="CE4B"/>
  <mergeCells count="2">
    <mergeCell ref="A2:H2"/>
    <mergeCell ref="A1:H1"/>
  </mergeCells>
  <pageMargins left="0.75" right="0.75" top="1" bottom="1" header="0.5" footer="0.5"/>
  <headerFooter>
    <oddHeader/>
    <oddFooter>&amp;R&amp;9 &amp;K808080Generated by Endall | endall.ai</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2026-04-22T19:28:48Z</dcterms:created>
  <dcterms:modified xmlns:dcterms="http://purl.org/dc/terms/" xmlns:xsi="http://www.w3.org/2001/XMLSchema-instance" xsi:type="dcterms:W3CDTF">2026-04-22T19:28:48Z</dcterms:modified>
</cp:coreProperties>
</file>