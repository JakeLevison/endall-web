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$#,##0;($#,##0);$0"/>
    <numFmt numFmtId="167" formatCode="0.0000"/>
  </numFmts>
  <fonts count="13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7F4F24"/>
      <sz val="9"/>
    </font>
    <font>
      <name val="Arial"/>
      <b val="1"/>
      <color rgb="001F4E79"/>
      <sz val="13"/>
    </font>
    <font>
      <name val="Arial"/>
      <b val="1"/>
      <sz val="11"/>
    </font>
    <font>
      <name val="Arial"/>
      <color rgb="000000FF"/>
      <sz val="11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00"/>
      <sz val="11"/>
    </font>
    <font>
      <name val="Arial"/>
      <b val="1"/>
      <color rgb="00666666"/>
      <sz val="10"/>
    </font>
    <font>
      <name val="Arial"/>
      <b val="1"/>
      <sz val="12"/>
    </font>
    <font>
      <name val="Arial"/>
      <sz val="11"/>
    </font>
  </fonts>
  <fills count="11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6E4F0"/>
      </patternFill>
    </fill>
    <fill>
      <patternFill patternType="solid">
        <fgColor rgb="00FFFDE7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AEEF3"/>
      </patternFill>
    </fill>
    <fill>
      <patternFill patternType="solid">
        <fgColor rgb="00E8E8E8"/>
      </patternFill>
    </fill>
    <fill>
      <patternFill patternType="solid">
        <fgColor rgb="00FCE4EC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1" pivotButton="0" quotePrefix="0" xfId="0"/>
    <xf numFmtId="0" fontId="12" fillId="0" borderId="0" applyAlignment="1" pivotButton="0" quotePrefix="0" xfId="0">
      <alignment wrapText="1"/>
    </xf>
    <xf numFmtId="0" fontId="3" fillId="3" borderId="1" pivotButton="0" quotePrefix="0" xfId="0"/>
    <xf numFmtId="0" fontId="0" fillId="3" borderId="1" pivotButton="0" quotePrefix="0" xfId="0"/>
    <xf numFmtId="0" fontId="0" fillId="7" borderId="1" pivotButton="0" quotePrefix="0" xfId="0"/>
    <xf numFmtId="0" fontId="4" fillId="0" borderId="1" pivotButton="0" quotePrefix="0" xfId="0"/>
    <xf numFmtId="0" fontId="12" fillId="0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6" borderId="1" pivotButton="0" quotePrefix="0" xfId="0"/>
    <xf numFmtId="0" fontId="0" fillId="10" borderId="1" pivotButton="0" quotePrefix="0" xfId="0"/>
    <xf numFmtId="0" fontId="10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0" fontId="3" fillId="0" borderId="1" pivotButton="0" quotePrefix="0" xfId="0"/>
    <xf numFmtId="0" fontId="11" fillId="0" borderId="1" pivotButton="0" quotePrefix="0" xfId="0"/>
    <xf numFmtId="0" fontId="8" fillId="0" borderId="1" pivotButton="0" quotePrefix="0" xfId="0"/>
    <xf numFmtId="49" fontId="9" fillId="0" borderId="1" pivotButton="0" quotePrefix="0" xfId="0"/>
    <xf numFmtId="164" fontId="9" fillId="0" borderId="1" pivotButton="0" quotePrefix="0" xfId="0"/>
    <xf numFmtId="165" fontId="9" fillId="0" borderId="1" pivotButton="0" quotePrefix="0" xfId="0"/>
    <xf numFmtId="0" fontId="9" fillId="0" borderId="1" pivotButton="0" quotePrefix="0" xfId="0"/>
    <xf numFmtId="0" fontId="2" fillId="0" borderId="1" pivotButton="0" quotePrefix="0" xfId="0"/>
    <xf numFmtId="0" fontId="2" fillId="2" borderId="1" pivotButton="0" quotePrefix="0" xfId="0"/>
    <xf numFmtId="49" fontId="5" fillId="4" borderId="1" applyProtection="1" pivotButton="0" quotePrefix="0" xfId="0">
      <protection locked="0" hidden="0"/>
    </xf>
    <xf numFmtId="164" fontId="5" fillId="4" borderId="1" applyProtection="1" pivotButton="0" quotePrefix="0" xfId="0">
      <protection locked="0" hidden="0"/>
    </xf>
    <xf numFmtId="1" fontId="5" fillId="4" borderId="1" applyProtection="1" pivotButton="0" quotePrefix="0" xfId="0">
      <protection locked="0" hidden="0"/>
    </xf>
    <xf numFmtId="165" fontId="5" fillId="4" borderId="1" applyProtection="1" pivotButton="0" quotePrefix="0" xfId="0">
      <protection locked="0" hidden="0"/>
    </xf>
    <xf numFmtId="0" fontId="0" fillId="5" borderId="1" pivotButton="0" quotePrefix="0" xfId="0"/>
    <xf numFmtId="0" fontId="7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5" borderId="1" applyAlignment="1" pivotButton="0" quotePrefix="0" xfId="0">
      <alignment horizontal="center"/>
    </xf>
    <xf numFmtId="166" fontId="9" fillId="0" borderId="1" pivotButton="0" quotePrefix="0" xfId="0"/>
    <xf numFmtId="0" fontId="6" fillId="0" borderId="1" pivotButton="0" quotePrefix="0" xfId="0"/>
    <xf numFmtId="166" fontId="6" fillId="0" borderId="1" pivotButton="0" quotePrefix="0" xfId="0"/>
    <xf numFmtId="0" fontId="0" fillId="0" borderId="1" pivotButton="0" quotePrefix="0" xfId="0"/>
    <xf numFmtId="167" fontId="9" fillId="0" borderId="1" pivotButton="0" quotePrefix="0" xfId="0"/>
    <xf numFmtId="165" fontId="8" fillId="0" borderId="1" pivotButton="0" quotePrefix="0" xfId="0"/>
    <xf numFmtId="164" fontId="4" fillId="6" borderId="1" pivotButton="0" quotePrefix="0" xfId="0"/>
    <xf numFmtId="0" fontId="9" fillId="0" borderId="1" applyAlignment="1" pivotButton="0" quotePrefix="0" xfId="0">
      <alignment horizontal="center"/>
    </xf>
    <xf numFmtId="164" fontId="9" fillId="0" borderId="1" applyAlignment="1" pivotButton="0" quotePrefix="0" xfId="0">
      <alignment horizontal="center"/>
    </xf>
    <xf numFmtId="164" fontId="4" fillId="6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45" customWidth="1" min="3" max="3"/>
    <col width="20" customWidth="1" min="4" max="4"/>
    <col width="20" customWidth="1" min="5" max="5"/>
  </cols>
  <sheetData>
    <row r="1">
      <c r="A1" s="1" t="inlineStr">
        <is>
          <t>How to Use This Workbook</t>
        </is>
      </c>
    </row>
    <row r="2"/>
    <row r="3" ht="45" customHeight="1">
      <c r="A3" s="2" t="inlineStr">
        <is>
          <t>This workbook analyzes whether a project is worth taking. It calculates your expected profit, factors in the time value of money, and tells you if the job is a GO or NO-GO.</t>
        </is>
      </c>
    </row>
    <row r="4"/>
    <row r="5" ht="45" customHeight="1">
      <c r="A5" s="2" t="inlineStr">
        <is>
          <t>Go to the Assumptions tab and update the yellow cells with your project details -- what you're charging, your costs, and the timeline. As the project runs, enter your actual costs in the blue cells on the Cash Flow tab. All results update automatically.</t>
        </is>
      </c>
    </row>
    <row r="6"/>
    <row r="7" ht="45" customHeight="1">
      <c r="A7" s="2" t="inlineStr">
        <is>
          <t>Check the Summary tab for the bottom line: your project value, return rate, break-even month, and a GO/NO-GO recommendation. The Sensitivity tab shows how results change if costs or timelines shift.</t>
        </is>
      </c>
    </row>
    <row r="8"/>
    <row r="9">
      <c r="A9" s="3" t="inlineStr">
        <is>
          <t>COLOR GUIDE</t>
        </is>
      </c>
      <c r="B9" s="4" t="inlineStr"/>
      <c r="C9" s="4" t="inlineStr"/>
    </row>
    <row r="10">
      <c r="A10" s="5" t="inlineStr"/>
      <c r="B10" s="6" t="inlineStr">
        <is>
          <t>YELLOW</t>
        </is>
      </c>
      <c r="C10" s="7" t="inlineStr">
        <is>
          <t>Your input -- fill these in</t>
        </is>
      </c>
    </row>
    <row r="11">
      <c r="A11" s="8" t="inlineStr"/>
      <c r="B11" s="6" t="inlineStr">
        <is>
          <t>BLUE</t>
        </is>
      </c>
      <c r="C11" s="7" t="inlineStr">
        <is>
          <t>Actual results -- enter as they come in</t>
        </is>
      </c>
    </row>
    <row r="12">
      <c r="A12" s="9" t="inlineStr"/>
      <c r="B12" s="6" t="inlineStr">
        <is>
          <t>GRAY</t>
        </is>
      </c>
      <c r="C12" s="7" t="inlineStr">
        <is>
          <t>Calculated -- don't touch</t>
        </is>
      </c>
    </row>
    <row r="13">
      <c r="A13" s="10" t="inlineStr"/>
      <c r="B13" s="6" t="inlineStr">
        <is>
          <t>GREEN</t>
        </is>
      </c>
      <c r="C13" s="7" t="inlineStr">
        <is>
          <t>Good result -- on track</t>
        </is>
      </c>
    </row>
    <row r="14">
      <c r="A14" s="11" t="inlineStr"/>
      <c r="B14" s="6" t="inlineStr">
        <is>
          <t>RED</t>
        </is>
      </c>
      <c r="C14" s="7" t="inlineStr">
        <is>
          <t>Needs attention -- action required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E4B"/>
  <mergeCells count="4">
    <mergeCell ref="A1:E1"/>
    <mergeCell ref="A7:E7"/>
    <mergeCell ref="A5:E5"/>
    <mergeCell ref="A3:E3"/>
  </mergeCells>
  <pageMargins left="0.75" right="0.75" top="1" bottom="1" header="0.5" footer="0.5"/>
  <headerFooter>
    <oddHeader/>
    <oddFooter>&amp;R&amp;9 &amp;K808080Generated by Endall | endall.ai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52" customWidth="1" min="1" max="1"/>
    <col width="38" customWidth="1" min="2" max="2"/>
    <col width="15" customWidth="1" min="3" max="3"/>
    <col width="15" customWidth="1" min="4" max="4"/>
  </cols>
  <sheetData>
    <row r="1">
      <c r="A1" s="1">
        <f>Assumptions!$B$5&amp;" -- Project Returns Summary"</f>
        <v/>
      </c>
    </row>
    <row r="2">
      <c r="A2" s="12" t="inlineStr">
        <is>
          <t>Generated April 22, 2026</t>
        </is>
      </c>
    </row>
    <row r="3"/>
    <row r="4">
      <c r="A4" s="3" t="inlineStr">
        <is>
          <t>THE BOTTOM LINE</t>
        </is>
      </c>
      <c r="B4" s="4" t="inlineStr"/>
    </row>
    <row r="5">
      <c r="A5" s="6" t="inlineStr">
        <is>
          <t>Project Value in Today's Dollars (NPV)</t>
        </is>
      </c>
      <c r="B5" s="13">
        <f>'Cash Flow'!AA23</f>
        <v/>
      </c>
    </row>
    <row r="6">
      <c r="A6" s="6" t="inlineStr">
        <is>
          <t>Annual Return on Investment (IRR)</t>
        </is>
      </c>
      <c r="B6" s="14">
        <f>IFERROR((1+IRR('Cash Flow'!B25:H25))^12-1,0)</f>
        <v/>
      </c>
    </row>
    <row r="7">
      <c r="A7" s="6" t="inlineStr">
        <is>
          <t>Profit After Direct Costs (Gross Margin)</t>
        </is>
      </c>
      <c r="B7" s="14">
        <f>Assumptions!$B$30</f>
        <v/>
      </c>
    </row>
    <row r="8">
      <c r="A8" s="15" t="inlineStr">
        <is>
          <t>Recommendation</t>
        </is>
      </c>
      <c r="B8" s="16">
        <f>IF(AND('Cash Flow'!AA23&gt;0,Assumptions!$B$30&gt;=Assumptions!$B$23),"GO -- This project is worth taking",IF('Cash Flow'!AA23&gt;0,"MAYBE -- Positive returns but thin margins","NO-GO -- Review your assumptions"))</f>
        <v/>
      </c>
    </row>
    <row r="9"/>
    <row r="10">
      <c r="A10" s="3" t="inlineStr">
        <is>
          <t>PROJECT DETAILS</t>
        </is>
      </c>
      <c r="B10" s="4" t="inlineStr"/>
    </row>
    <row r="11">
      <c r="A11" s="17" t="inlineStr">
        <is>
          <t>Project</t>
        </is>
      </c>
      <c r="B11" s="18">
        <f>Assumptions!$B$6</f>
        <v/>
      </c>
    </row>
    <row r="12">
      <c r="A12" s="17" t="inlineStr">
        <is>
          <t>Customer</t>
        </is>
      </c>
      <c r="B12" s="18">
        <f>Assumptions!$B$7</f>
        <v/>
      </c>
    </row>
    <row r="13">
      <c r="A13" s="17" t="inlineStr">
        <is>
          <t>Company</t>
        </is>
      </c>
      <c r="B13" s="18">
        <f>Assumptions!$B$5</f>
        <v/>
      </c>
    </row>
    <row r="14">
      <c r="A14" s="17" t="inlineStr">
        <is>
          <t>Project Length</t>
        </is>
      </c>
      <c r="B14" s="18">
        <f>Assumptions!$B$9&amp;" months"</f>
        <v/>
      </c>
    </row>
    <row r="15"/>
    <row r="16">
      <c r="A16" s="3" t="inlineStr">
        <is>
          <t>FINANCIAL SUMMARY</t>
        </is>
      </c>
      <c r="B16" s="4" t="inlineStr"/>
    </row>
    <row r="17">
      <c r="A17" s="6" t="inlineStr">
        <is>
          <t>What You're Charging (Contract Value)</t>
        </is>
      </c>
      <c r="B17" s="13">
        <f>Assumptions!$B$8</f>
        <v/>
      </c>
    </row>
    <row r="18">
      <c r="A18" s="17" t="inlineStr">
        <is>
          <t>Total Estimated Cost</t>
        </is>
      </c>
      <c r="B18" s="19">
        <f>Assumptions!$B$28</f>
        <v/>
      </c>
    </row>
    <row r="19">
      <c r="A19" s="6" t="inlineStr">
        <is>
          <t>Profit After Direct Costs (Gross Profit)</t>
        </is>
      </c>
      <c r="B19" s="13">
        <f>Assumptions!$B$29</f>
        <v/>
      </c>
    </row>
    <row r="20">
      <c r="A20" s="6" t="inlineStr">
        <is>
          <t>Profit Margin % (Gross Margin)</t>
        </is>
      </c>
      <c r="B20" s="14">
        <f>Assumptions!$B$30</f>
        <v/>
      </c>
    </row>
    <row r="21"/>
    <row r="22">
      <c r="A22" s="3" t="inlineStr">
        <is>
          <t>RETURNS DETAIL</t>
        </is>
      </c>
      <c r="B22" s="4" t="inlineStr"/>
    </row>
    <row r="23">
      <c r="A23" s="6" t="inlineStr">
        <is>
          <t>Project Value in Today's Dollars (NPV)</t>
        </is>
      </c>
      <c r="B23" s="13">
        <f>'Cash Flow'!AA23</f>
        <v/>
      </c>
    </row>
    <row r="24">
      <c r="A24" s="6" t="inlineStr">
        <is>
          <t>Monthly Return (IRR)</t>
        </is>
      </c>
      <c r="B24" s="14">
        <f>IFERROR(IRR('Cash Flow'!B25:H25),0)</f>
        <v/>
      </c>
    </row>
    <row r="25">
      <c r="A25" s="6" t="inlineStr">
        <is>
          <t>Annual Return (IRR)</t>
        </is>
      </c>
      <c r="B25" s="14">
        <f>IFERROR((1+IRR('Cash Flow'!B25:H25))^12-1,0)</f>
        <v/>
      </c>
    </row>
    <row r="26"/>
    <row r="27"/>
    <row r="28">
      <c r="A28" s="3" t="inlineStr">
        <is>
          <t>TRACKING YOUR PERFORMANCE (GOAL &amp; CONTROL)</t>
        </is>
      </c>
      <c r="B28" s="4" t="inlineStr"/>
    </row>
    <row r="29">
      <c r="A29" s="17" t="inlineStr">
        <is>
          <t>Are You Hitting Labor Targets? (Labor Efficiency)</t>
        </is>
      </c>
      <c r="B29" s="20">
        <f>IFERROR(IF(COUNTA('Cash Flow'!C7:AB7)=0,"No actuals yet",SUM('Cash Flow'!C7:AB7)/SUM('Cash Flow'!B7:AA7)),"N/A")</f>
        <v/>
      </c>
    </row>
    <row r="30">
      <c r="A30" s="17" t="inlineStr">
        <is>
          <t>Is Your Margin Holding? (Margin Discipline)</t>
        </is>
      </c>
      <c r="B30" s="20">
        <f>IFERROR(Assumptions!$B$30/Assumptions!$B$23,"N/A")</f>
        <v/>
      </c>
    </row>
    <row r="31">
      <c r="A31" s="17" t="inlineStr">
        <is>
          <t>Is the Project Profitable? (NPV Status)</t>
        </is>
      </c>
      <c r="B31" s="21">
        <f>IF('Cash Flow'!AA23&gt;0,"Positive -- proceed","Negative -- review assumptions")</f>
        <v/>
      </c>
    </row>
    <row r="32"/>
    <row r="33">
      <c r="A33" s="3" t="inlineStr">
        <is>
          <t>PAYMENT SCHEDULE (BILLING TERMS USED)</t>
        </is>
      </c>
      <c r="B33" s="4" t="inlineStr"/>
    </row>
    <row r="34">
      <c r="A34" s="17" t="inlineStr">
        <is>
          <t>Upfront</t>
        </is>
      </c>
      <c r="B34" s="14">
        <f>Assumptions!$B$19</f>
        <v/>
      </c>
    </row>
    <row r="35">
      <c r="A35" s="17" t="inlineStr">
        <is>
          <t>Monthly progress (spread)</t>
        </is>
      </c>
      <c r="B35" s="14">
        <f>1-Assumptions!$B$19-Assumptions!$B$20</f>
        <v/>
      </c>
    </row>
    <row r="36">
      <c r="A36" s="17" t="inlineStr">
        <is>
          <t>Retention (released at completion)</t>
        </is>
      </c>
      <c r="B36" s="14">
        <f>Assumptions!$B$20</f>
        <v/>
      </c>
    </row>
    <row r="37">
      <c r="A37" s="22" t="inlineStr">
        <is>
          <t>Verify against your signed contract terms.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E4B"/>
  <mergeCells count="2">
    <mergeCell ref="A1:D1"/>
    <mergeCell ref="A2:D2"/>
  </mergeCells>
  <pageMargins left="0.75" right="0.75" top="1" bottom="1" header="0.5" footer="0.5"/>
  <headerFooter>
    <oddHeader/>
    <oddFooter>&amp;R&amp;9 &amp;K808080Generated by Endall | endall.ai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15" customWidth="1" min="3" max="3"/>
    <col width="15" customWidth="1" min="4" max="4"/>
  </cols>
  <sheetData>
    <row r="1">
      <c r="A1" s="1" t="inlineStr">
        <is>
          <t>Verification Test LLC -- Project Returns: Assumptions</t>
        </is>
      </c>
    </row>
    <row r="2">
      <c r="A2" s="23" t="inlineStr">
        <is>
          <t>Change any blue number and the entire model updates.</t>
        </is>
      </c>
    </row>
    <row r="3"/>
    <row r="4">
      <c r="A4" s="3" t="inlineStr">
        <is>
          <t>PROJECT DETAILS</t>
        </is>
      </c>
      <c r="B4" s="4" t="inlineStr"/>
    </row>
    <row r="5">
      <c r="A5" s="6" t="inlineStr">
        <is>
          <t>Company Name</t>
        </is>
      </c>
      <c r="B5" s="24" t="inlineStr">
        <is>
          <t>Verification Test LLC</t>
        </is>
      </c>
    </row>
    <row r="6">
      <c r="A6" s="6" t="inlineStr">
        <is>
          <t>Project Name</t>
        </is>
      </c>
      <c r="B6" s="24" t="inlineStr">
        <is>
          <t>Demo NPV Analysis</t>
        </is>
      </c>
    </row>
    <row r="7">
      <c r="A7" s="6" t="inlineStr">
        <is>
          <t>Customer</t>
        </is>
      </c>
      <c r="B7" s="24" t="inlineStr">
        <is>
          <t>Demo Customer</t>
        </is>
      </c>
    </row>
    <row r="8">
      <c r="A8" s="6" t="inlineStr">
        <is>
          <t>What You're Charging (Contract Value)</t>
        </is>
      </c>
      <c r="B8" s="25" t="n">
        <v>4250000</v>
      </c>
    </row>
    <row r="9">
      <c r="A9" s="6" t="inlineStr">
        <is>
          <t>Project Length in Months (Timeline)</t>
        </is>
      </c>
      <c r="B9" s="26" t="n">
        <v>6</v>
      </c>
    </row>
    <row r="10">
      <c r="A10" s="6" t="inlineStr">
        <is>
          <t>Cost of Money % (Discount Rate)</t>
        </is>
      </c>
      <c r="B10" s="27" t="n">
        <v>0.1</v>
      </c>
    </row>
    <row r="11"/>
    <row r="12">
      <c r="A12" s="3" t="inlineStr">
        <is>
          <t>YOUR COSTS (% OF CONTRACT)</t>
        </is>
      </c>
      <c r="B12" s="4" t="inlineStr"/>
    </row>
    <row r="13">
      <c r="A13" s="6" t="inlineStr">
        <is>
          <t>Labor %</t>
        </is>
      </c>
      <c r="B13" s="27" t="n">
        <v>0.3</v>
      </c>
    </row>
    <row r="14">
      <c r="A14" s="6" t="inlineStr">
        <is>
          <t>Materials %</t>
        </is>
      </c>
      <c r="B14" s="27" t="n">
        <v>0.25</v>
      </c>
    </row>
    <row r="15">
      <c r="A15" s="6" t="inlineStr">
        <is>
          <t>Subcontractors %</t>
        </is>
      </c>
      <c r="B15" s="27" t="n">
        <v>0.15</v>
      </c>
    </row>
    <row r="16">
      <c r="A16" s="6" t="inlineStr">
        <is>
          <t>Equipment %</t>
        </is>
      </c>
      <c r="B16" s="27" t="n">
        <v>0.03</v>
      </c>
    </row>
    <row r="17"/>
    <row r="18">
      <c r="A18" s="3" t="inlineStr">
        <is>
          <t>WHEN YOU GET PAID (BILLING)</t>
        </is>
      </c>
      <c r="B18" s="4" t="inlineStr"/>
    </row>
    <row r="19">
      <c r="A19" s="6" t="inlineStr">
        <is>
          <t>Upfront Payment %</t>
        </is>
      </c>
      <c r="B19" s="27" t="n">
        <v>0.1</v>
      </c>
    </row>
    <row r="20">
      <c r="A20" s="6" t="inlineStr">
        <is>
          <t>Holdback % (Retention)</t>
        </is>
      </c>
      <c r="B20" s="27" t="n">
        <v>0.1</v>
      </c>
    </row>
    <row r="21"/>
    <row r="22">
      <c r="A22" s="3" t="inlineStr">
        <is>
          <t>YOUR TARGETS (GOAL &amp; CONTROL)</t>
        </is>
      </c>
      <c r="B22" s="4" t="inlineStr"/>
    </row>
    <row r="23">
      <c r="A23" s="6" t="inlineStr">
        <is>
          <t>Minimum Profit Margin (Target Gross Margin)</t>
        </is>
      </c>
      <c r="B23" s="27" t="n">
        <v>0.1</v>
      </c>
    </row>
    <row r="24">
      <c r="A24" s="6" t="inlineStr">
        <is>
          <t>How Far Off Is OK? (Variance Threshold)</t>
        </is>
      </c>
      <c r="B24" s="27" t="n">
        <v>0.03</v>
      </c>
    </row>
    <row r="25"/>
    <row r="26">
      <c r="A26" s="3" t="inlineStr">
        <is>
          <t>CALCULATED (DON'T CHANGE)</t>
        </is>
      </c>
      <c r="B26" s="4" t="inlineStr"/>
    </row>
    <row r="27">
      <c r="A27" s="6" t="inlineStr">
        <is>
          <t>Total Cost %</t>
        </is>
      </c>
      <c r="B27" s="14">
        <f>Assumptions!$B$13+Assumptions!$B$14+Assumptions!$B$15+Assumptions!$B$16</f>
        <v/>
      </c>
    </row>
    <row r="28">
      <c r="A28" s="6" t="inlineStr">
        <is>
          <t>Total Estimated Cost</t>
        </is>
      </c>
      <c r="B28" s="13">
        <f>Assumptions!$B$8*Assumptions!$B$27</f>
        <v/>
      </c>
    </row>
    <row r="29">
      <c r="A29" s="6" t="inlineStr">
        <is>
          <t>Profit After Direct Costs (Gross Profit)</t>
        </is>
      </c>
      <c r="B29" s="13">
        <f>Assumptions!$B$8-Assumptions!$B$28</f>
        <v/>
      </c>
    </row>
    <row r="30">
      <c r="A30" s="6" t="inlineStr">
        <is>
          <t>Profit Margin % (Gross Margin)</t>
        </is>
      </c>
      <c r="B30" s="14">
        <f>IF(Assumptions!$B$8=0,0,Assumptions!$B$29/Assumptions!$B$8)</f>
        <v/>
      </c>
    </row>
    <row r="31">
      <c r="A31" s="6" t="inlineStr">
        <is>
          <t>Upfront Amount</t>
        </is>
      </c>
      <c r="B31" s="13">
        <f>Assumptions!$B$8*Assumptions!$B$19</f>
        <v/>
      </c>
    </row>
    <row r="32">
      <c r="A32" s="6" t="inlineStr">
        <is>
          <t>Holdback Amount (Retention)</t>
        </is>
      </c>
      <c r="B32" s="13">
        <f>Assumptions!$B$8*Assumptions!$B$20</f>
        <v/>
      </c>
    </row>
    <row r="33">
      <c r="A33" s="6" t="inlineStr">
        <is>
          <t>Monthly Progress Billing</t>
        </is>
      </c>
      <c r="B33" s="13">
        <f>IF(Assumptions!$B$9=0,0,(Assumptions!$B$8-Assumptions!$B$31-Assumptions!$B$32)/Assumptions!$B$9)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E4B"/>
  <mergeCells count="2">
    <mergeCell ref="A1:D1"/>
    <mergeCell ref="A2:D2"/>
  </mergeCells>
  <pageMargins left="0.75" right="0.75" top="1" bottom="1" header="0.5" footer="0.5"/>
  <headerFooter>
    <oddHeader/>
    <oddFooter>&amp;R&amp;9 &amp;K808080Generated by Endall | endall.ai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</cols>
  <sheetData>
    <row r="1">
      <c r="A1" s="1">
        <f>Assumptions!$B$5&amp;" -- "&amp;Assumptions!$B$6&amp;": Cash Flow Schedule"</f>
        <v/>
      </c>
    </row>
    <row r="2">
      <c r="A2" s="23" t="inlineStr">
        <is>
          <t>Enter actuals in yellow cells. Variances calculate automatically.</t>
        </is>
      </c>
    </row>
    <row r="3"/>
    <row r="4">
      <c r="A4" s="28" t="inlineStr"/>
      <c r="B4" s="29" t="inlineStr">
        <is>
          <t>Month 1</t>
        </is>
      </c>
      <c r="C4" s="30" t="n"/>
      <c r="D4" s="30" t="n"/>
      <c r="E4" s="30" t="n"/>
      <c r="F4" s="31" t="n"/>
      <c r="G4" s="29" t="inlineStr">
        <is>
          <t>Month 2</t>
        </is>
      </c>
      <c r="H4" s="30" t="n"/>
      <c r="I4" s="30" t="n"/>
      <c r="J4" s="30" t="n"/>
      <c r="K4" s="31" t="n"/>
      <c r="L4" s="29" t="inlineStr">
        <is>
          <t>Month 3</t>
        </is>
      </c>
      <c r="M4" s="30" t="n"/>
      <c r="N4" s="30" t="n"/>
      <c r="O4" s="30" t="n"/>
      <c r="P4" s="31" t="n"/>
      <c r="Q4" s="29" t="inlineStr">
        <is>
          <t>Month 4</t>
        </is>
      </c>
      <c r="R4" s="30" t="n"/>
      <c r="S4" s="30" t="n"/>
      <c r="T4" s="30" t="n"/>
      <c r="U4" s="31" t="n"/>
      <c r="V4" s="29" t="inlineStr">
        <is>
          <t>Month 5</t>
        </is>
      </c>
      <c r="W4" s="30" t="n"/>
      <c r="X4" s="30" t="n"/>
      <c r="Y4" s="30" t="n"/>
      <c r="Z4" s="31" t="n"/>
      <c r="AA4" s="29" t="inlineStr">
        <is>
          <t>Month 6</t>
        </is>
      </c>
      <c r="AB4" s="30" t="n"/>
      <c r="AC4" s="30" t="n"/>
      <c r="AD4" s="30" t="n"/>
      <c r="AE4" s="31" t="n"/>
    </row>
    <row r="5">
      <c r="A5" s="28" t="inlineStr"/>
      <c r="B5" s="32" t="inlineStr">
        <is>
          <t>Budget</t>
        </is>
      </c>
      <c r="C5" s="32" t="inlineStr">
        <is>
          <t>Actual</t>
        </is>
      </c>
      <c r="D5" s="32" t="inlineStr">
        <is>
          <t>Var $</t>
        </is>
      </c>
      <c r="E5" s="32" t="inlineStr">
        <is>
          <t>Var %</t>
        </is>
      </c>
      <c r="F5" s="32" t="inlineStr">
        <is>
          <t>Status</t>
        </is>
      </c>
      <c r="G5" s="32" t="inlineStr">
        <is>
          <t>Budget</t>
        </is>
      </c>
      <c r="H5" s="32" t="inlineStr">
        <is>
          <t>Actual</t>
        </is>
      </c>
      <c r="I5" s="32" t="inlineStr">
        <is>
          <t>Var $</t>
        </is>
      </c>
      <c r="J5" s="32" t="inlineStr">
        <is>
          <t>Var %</t>
        </is>
      </c>
      <c r="K5" s="32" t="inlineStr">
        <is>
          <t>Status</t>
        </is>
      </c>
      <c r="L5" s="32" t="inlineStr">
        <is>
          <t>Budget</t>
        </is>
      </c>
      <c r="M5" s="32" t="inlineStr">
        <is>
          <t>Actual</t>
        </is>
      </c>
      <c r="N5" s="32" t="inlineStr">
        <is>
          <t>Var $</t>
        </is>
      </c>
      <c r="O5" s="32" t="inlineStr">
        <is>
          <t>Var %</t>
        </is>
      </c>
      <c r="P5" s="32" t="inlineStr">
        <is>
          <t>Status</t>
        </is>
      </c>
      <c r="Q5" s="32" t="inlineStr">
        <is>
          <t>Budget</t>
        </is>
      </c>
      <c r="R5" s="32" t="inlineStr">
        <is>
          <t>Actual</t>
        </is>
      </c>
      <c r="S5" s="32" t="inlineStr">
        <is>
          <t>Var $</t>
        </is>
      </c>
      <c r="T5" s="32" t="inlineStr">
        <is>
          <t>Var %</t>
        </is>
      </c>
      <c r="U5" s="32" t="inlineStr">
        <is>
          <t>Status</t>
        </is>
      </c>
      <c r="V5" s="32" t="inlineStr">
        <is>
          <t>Budget</t>
        </is>
      </c>
      <c r="W5" s="32" t="inlineStr">
        <is>
          <t>Actual</t>
        </is>
      </c>
      <c r="X5" s="32" t="inlineStr">
        <is>
          <t>Var $</t>
        </is>
      </c>
      <c r="Y5" s="32" t="inlineStr">
        <is>
          <t>Var %</t>
        </is>
      </c>
      <c r="Z5" s="32" t="inlineStr">
        <is>
          <t>Status</t>
        </is>
      </c>
      <c r="AA5" s="32" t="inlineStr">
        <is>
          <t>Budget</t>
        </is>
      </c>
      <c r="AB5" s="32" t="inlineStr">
        <is>
          <t>Actual</t>
        </is>
      </c>
      <c r="AC5" s="32" t="inlineStr">
        <is>
          <t>Var $</t>
        </is>
      </c>
      <c r="AD5" s="32" t="inlineStr">
        <is>
          <t>Var %</t>
        </is>
      </c>
      <c r="AE5" s="32" t="inlineStr">
        <is>
          <t>Status</t>
        </is>
      </c>
    </row>
    <row r="6">
      <c r="A6" s="3" t="inlineStr">
        <is>
          <t>CASH OUTFLOWS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</row>
    <row r="7">
      <c r="A7" s="17" t="inlineStr">
        <is>
          <t xml:space="preserve">  Labor</t>
        </is>
      </c>
      <c r="B7" s="19">
        <f>Assumptions!$B$8*Assumptions!$B$13/Assumptions!$B$9</f>
        <v/>
      </c>
      <c r="C7" s="25" t="n"/>
      <c r="D7" s="33">
        <f>IF(C7="","",C7-B7)</f>
        <v/>
      </c>
      <c r="E7" s="20">
        <f>IF(C7="","",IF(B7=0,0,(C7-B7)/ABS(B7)))</f>
        <v/>
      </c>
      <c r="F7" s="21">
        <f>IF(C7="","",IF(E7&lt;=0,"On Track",IF(E7&lt;=Assumptions!$B$24,"Monitor","Action Needed")))</f>
        <v/>
      </c>
      <c r="G7" s="19">
        <f>Assumptions!$B$8*Assumptions!$B$13/Assumptions!$B$9</f>
        <v/>
      </c>
      <c r="H7" s="25" t="n"/>
      <c r="I7" s="33">
        <f>IF(H7="","",H7-G7)</f>
        <v/>
      </c>
      <c r="J7" s="20">
        <f>IF(H7="","",IF(G7=0,0,(H7-G7)/ABS(G7)))</f>
        <v/>
      </c>
      <c r="K7" s="21">
        <f>IF(H7="","",IF(J7&lt;=0,"On Track",IF(J7&lt;=Assumptions!$B$24,"Monitor","Action Needed")))</f>
        <v/>
      </c>
      <c r="L7" s="19">
        <f>Assumptions!$B$8*Assumptions!$B$13/Assumptions!$B$9</f>
        <v/>
      </c>
      <c r="M7" s="25" t="n"/>
      <c r="N7" s="33">
        <f>IF(M7="","",M7-L7)</f>
        <v/>
      </c>
      <c r="O7" s="20">
        <f>IF(M7="","",IF(L7=0,0,(M7-L7)/ABS(L7)))</f>
        <v/>
      </c>
      <c r="P7" s="21">
        <f>IF(M7="","",IF(O7&lt;=0,"On Track",IF(O7&lt;=Assumptions!$B$24,"Monitor","Action Needed")))</f>
        <v/>
      </c>
      <c r="Q7" s="19">
        <f>Assumptions!$B$8*Assumptions!$B$13/Assumptions!$B$9</f>
        <v/>
      </c>
      <c r="R7" s="25" t="n"/>
      <c r="S7" s="33">
        <f>IF(R7="","",R7-Q7)</f>
        <v/>
      </c>
      <c r="T7" s="20">
        <f>IF(R7="","",IF(Q7=0,0,(R7-Q7)/ABS(Q7)))</f>
        <v/>
      </c>
      <c r="U7" s="21">
        <f>IF(R7="","",IF(T7&lt;=0,"On Track",IF(T7&lt;=Assumptions!$B$24,"Monitor","Action Needed")))</f>
        <v/>
      </c>
      <c r="V7" s="19">
        <f>Assumptions!$B$8*Assumptions!$B$13/Assumptions!$B$9</f>
        <v/>
      </c>
      <c r="W7" s="25" t="n"/>
      <c r="X7" s="33">
        <f>IF(W7="","",W7-V7)</f>
        <v/>
      </c>
      <c r="Y7" s="20">
        <f>IF(W7="","",IF(V7=0,0,(W7-V7)/ABS(V7)))</f>
        <v/>
      </c>
      <c r="Z7" s="21">
        <f>IF(W7="","",IF(Y7&lt;=0,"On Track",IF(Y7&lt;=Assumptions!$B$24,"Monitor","Action Needed")))</f>
        <v/>
      </c>
      <c r="AA7" s="19">
        <f>Assumptions!$B$8*Assumptions!$B$13/Assumptions!$B$9</f>
        <v/>
      </c>
      <c r="AB7" s="25" t="n"/>
      <c r="AC7" s="33">
        <f>IF(AB7="","",AB7-AA7)</f>
        <v/>
      </c>
      <c r="AD7" s="20">
        <f>IF(AB7="","",IF(AA7=0,0,(AB7-AA7)/ABS(AA7)))</f>
        <v/>
      </c>
      <c r="AE7" s="21">
        <f>IF(AB7="","",IF(AD7&lt;=0,"On Track",IF(AD7&lt;=Assumptions!$B$24,"Monitor","Action Needed")))</f>
        <v/>
      </c>
    </row>
    <row r="8">
      <c r="A8" s="17" t="inlineStr">
        <is>
          <t xml:space="preserve">  Materials</t>
        </is>
      </c>
      <c r="B8" s="19">
        <f>Assumptions!$B$8*Assumptions!$B$14/Assumptions!$B$9</f>
        <v/>
      </c>
      <c r="C8" s="25" t="n"/>
      <c r="D8" s="33">
        <f>IF(C8="","",C8-B8)</f>
        <v/>
      </c>
      <c r="E8" s="20">
        <f>IF(C8="","",IF(B8=0,0,(C8-B8)/ABS(B8)))</f>
        <v/>
      </c>
      <c r="F8" s="21">
        <f>IF(C8="","",IF(E8&lt;=0,"On Track",IF(E8&lt;=Assumptions!$B$24,"Monitor","Action Needed")))</f>
        <v/>
      </c>
      <c r="G8" s="19">
        <f>Assumptions!$B$8*Assumptions!$B$14/Assumptions!$B$9</f>
        <v/>
      </c>
      <c r="H8" s="25" t="n"/>
      <c r="I8" s="33">
        <f>IF(H8="","",H8-G8)</f>
        <v/>
      </c>
      <c r="J8" s="20">
        <f>IF(H8="","",IF(G8=0,0,(H8-G8)/ABS(G8)))</f>
        <v/>
      </c>
      <c r="K8" s="21">
        <f>IF(H8="","",IF(J8&lt;=0,"On Track",IF(J8&lt;=Assumptions!$B$24,"Monitor","Action Needed")))</f>
        <v/>
      </c>
      <c r="L8" s="19">
        <f>Assumptions!$B$8*Assumptions!$B$14/Assumptions!$B$9</f>
        <v/>
      </c>
      <c r="M8" s="25" t="n"/>
      <c r="N8" s="33">
        <f>IF(M8="","",M8-L8)</f>
        <v/>
      </c>
      <c r="O8" s="20">
        <f>IF(M8="","",IF(L8=0,0,(M8-L8)/ABS(L8)))</f>
        <v/>
      </c>
      <c r="P8" s="21">
        <f>IF(M8="","",IF(O8&lt;=0,"On Track",IF(O8&lt;=Assumptions!$B$24,"Monitor","Action Needed")))</f>
        <v/>
      </c>
      <c r="Q8" s="19">
        <f>Assumptions!$B$8*Assumptions!$B$14/Assumptions!$B$9</f>
        <v/>
      </c>
      <c r="R8" s="25" t="n"/>
      <c r="S8" s="33">
        <f>IF(R8="","",R8-Q8)</f>
        <v/>
      </c>
      <c r="T8" s="20">
        <f>IF(R8="","",IF(Q8=0,0,(R8-Q8)/ABS(Q8)))</f>
        <v/>
      </c>
      <c r="U8" s="21">
        <f>IF(R8="","",IF(T8&lt;=0,"On Track",IF(T8&lt;=Assumptions!$B$24,"Monitor","Action Needed")))</f>
        <v/>
      </c>
      <c r="V8" s="19">
        <f>Assumptions!$B$8*Assumptions!$B$14/Assumptions!$B$9</f>
        <v/>
      </c>
      <c r="W8" s="25" t="n"/>
      <c r="X8" s="33">
        <f>IF(W8="","",W8-V8)</f>
        <v/>
      </c>
      <c r="Y8" s="20">
        <f>IF(W8="","",IF(V8=0,0,(W8-V8)/ABS(V8)))</f>
        <v/>
      </c>
      <c r="Z8" s="21">
        <f>IF(W8="","",IF(Y8&lt;=0,"On Track",IF(Y8&lt;=Assumptions!$B$24,"Monitor","Action Needed")))</f>
        <v/>
      </c>
      <c r="AA8" s="19">
        <f>Assumptions!$B$8*Assumptions!$B$14/Assumptions!$B$9</f>
        <v/>
      </c>
      <c r="AB8" s="25" t="n"/>
      <c r="AC8" s="33">
        <f>IF(AB8="","",AB8-AA8)</f>
        <v/>
      </c>
      <c r="AD8" s="20">
        <f>IF(AB8="","",IF(AA8=0,0,(AB8-AA8)/ABS(AA8)))</f>
        <v/>
      </c>
      <c r="AE8" s="21">
        <f>IF(AB8="","",IF(AD8&lt;=0,"On Track",IF(AD8&lt;=Assumptions!$B$24,"Monitor","Action Needed")))</f>
        <v/>
      </c>
    </row>
    <row r="9">
      <c r="A9" s="17" t="inlineStr">
        <is>
          <t xml:space="preserve">  Subcontractors</t>
        </is>
      </c>
      <c r="B9" s="19">
        <f>Assumptions!$B$8*Assumptions!$B$15/Assumptions!$B$9</f>
        <v/>
      </c>
      <c r="C9" s="25" t="n"/>
      <c r="D9" s="33">
        <f>IF(C9="","",C9-B9)</f>
        <v/>
      </c>
      <c r="E9" s="20">
        <f>IF(C9="","",IF(B9=0,0,(C9-B9)/ABS(B9)))</f>
        <v/>
      </c>
      <c r="F9" s="21">
        <f>IF(C9="","",IF(E9&lt;=0,"On Track",IF(E9&lt;=Assumptions!$B$24,"Monitor","Action Needed")))</f>
        <v/>
      </c>
      <c r="G9" s="19">
        <f>Assumptions!$B$8*Assumptions!$B$15/Assumptions!$B$9</f>
        <v/>
      </c>
      <c r="H9" s="25" t="n"/>
      <c r="I9" s="33">
        <f>IF(H9="","",H9-G9)</f>
        <v/>
      </c>
      <c r="J9" s="20">
        <f>IF(H9="","",IF(G9=0,0,(H9-G9)/ABS(G9)))</f>
        <v/>
      </c>
      <c r="K9" s="21">
        <f>IF(H9="","",IF(J9&lt;=0,"On Track",IF(J9&lt;=Assumptions!$B$24,"Monitor","Action Needed")))</f>
        <v/>
      </c>
      <c r="L9" s="19">
        <f>Assumptions!$B$8*Assumptions!$B$15/Assumptions!$B$9</f>
        <v/>
      </c>
      <c r="M9" s="25" t="n"/>
      <c r="N9" s="33">
        <f>IF(M9="","",M9-L9)</f>
        <v/>
      </c>
      <c r="O9" s="20">
        <f>IF(M9="","",IF(L9=0,0,(M9-L9)/ABS(L9)))</f>
        <v/>
      </c>
      <c r="P9" s="21">
        <f>IF(M9="","",IF(O9&lt;=0,"On Track",IF(O9&lt;=Assumptions!$B$24,"Monitor","Action Needed")))</f>
        <v/>
      </c>
      <c r="Q9" s="19">
        <f>Assumptions!$B$8*Assumptions!$B$15/Assumptions!$B$9</f>
        <v/>
      </c>
      <c r="R9" s="25" t="n"/>
      <c r="S9" s="33">
        <f>IF(R9="","",R9-Q9)</f>
        <v/>
      </c>
      <c r="T9" s="20">
        <f>IF(R9="","",IF(Q9=0,0,(R9-Q9)/ABS(Q9)))</f>
        <v/>
      </c>
      <c r="U9" s="21">
        <f>IF(R9="","",IF(T9&lt;=0,"On Track",IF(T9&lt;=Assumptions!$B$24,"Monitor","Action Needed")))</f>
        <v/>
      </c>
      <c r="V9" s="19">
        <f>Assumptions!$B$8*Assumptions!$B$15/Assumptions!$B$9</f>
        <v/>
      </c>
      <c r="W9" s="25" t="n"/>
      <c r="X9" s="33">
        <f>IF(W9="","",W9-V9)</f>
        <v/>
      </c>
      <c r="Y9" s="20">
        <f>IF(W9="","",IF(V9=0,0,(W9-V9)/ABS(V9)))</f>
        <v/>
      </c>
      <c r="Z9" s="21">
        <f>IF(W9="","",IF(Y9&lt;=0,"On Track",IF(Y9&lt;=Assumptions!$B$24,"Monitor","Action Needed")))</f>
        <v/>
      </c>
      <c r="AA9" s="19">
        <f>Assumptions!$B$8*Assumptions!$B$15/Assumptions!$B$9</f>
        <v/>
      </c>
      <c r="AB9" s="25" t="n"/>
      <c r="AC9" s="33">
        <f>IF(AB9="","",AB9-AA9)</f>
        <v/>
      </c>
      <c r="AD9" s="20">
        <f>IF(AB9="","",IF(AA9=0,0,(AB9-AA9)/ABS(AA9)))</f>
        <v/>
      </c>
      <c r="AE9" s="21">
        <f>IF(AB9="","",IF(AD9&lt;=0,"On Track",IF(AD9&lt;=Assumptions!$B$24,"Monitor","Action Needed")))</f>
        <v/>
      </c>
    </row>
    <row r="10">
      <c r="A10" s="17" t="inlineStr">
        <is>
          <t xml:space="preserve">  Equipment</t>
        </is>
      </c>
      <c r="B10" s="19">
        <f>Assumptions!$B$8*Assumptions!$B$16/Assumptions!$B$9</f>
        <v/>
      </c>
      <c r="C10" s="25" t="n"/>
      <c r="D10" s="33">
        <f>IF(C10="","",C10-B10)</f>
        <v/>
      </c>
      <c r="E10" s="20">
        <f>IF(C10="","",IF(B10=0,0,(C10-B10)/ABS(B10)))</f>
        <v/>
      </c>
      <c r="F10" s="21">
        <f>IF(C10="","",IF(E10&lt;=0,"On Track",IF(E10&lt;=Assumptions!$B$24,"Monitor","Action Needed")))</f>
        <v/>
      </c>
      <c r="G10" s="19">
        <f>Assumptions!$B$8*Assumptions!$B$16/Assumptions!$B$9</f>
        <v/>
      </c>
      <c r="H10" s="25" t="n"/>
      <c r="I10" s="33">
        <f>IF(H10="","",H10-G10)</f>
        <v/>
      </c>
      <c r="J10" s="20">
        <f>IF(H10="","",IF(G10=0,0,(H10-G10)/ABS(G10)))</f>
        <v/>
      </c>
      <c r="K10" s="21">
        <f>IF(H10="","",IF(J10&lt;=0,"On Track",IF(J10&lt;=Assumptions!$B$24,"Monitor","Action Needed")))</f>
        <v/>
      </c>
      <c r="L10" s="19">
        <f>Assumptions!$B$8*Assumptions!$B$16/Assumptions!$B$9</f>
        <v/>
      </c>
      <c r="M10" s="25" t="n"/>
      <c r="N10" s="33">
        <f>IF(M10="","",M10-L10)</f>
        <v/>
      </c>
      <c r="O10" s="20">
        <f>IF(M10="","",IF(L10=0,0,(M10-L10)/ABS(L10)))</f>
        <v/>
      </c>
      <c r="P10" s="21">
        <f>IF(M10="","",IF(O10&lt;=0,"On Track",IF(O10&lt;=Assumptions!$B$24,"Monitor","Action Needed")))</f>
        <v/>
      </c>
      <c r="Q10" s="19">
        <f>Assumptions!$B$8*Assumptions!$B$16/Assumptions!$B$9</f>
        <v/>
      </c>
      <c r="R10" s="25" t="n"/>
      <c r="S10" s="33">
        <f>IF(R10="","",R10-Q10)</f>
        <v/>
      </c>
      <c r="T10" s="20">
        <f>IF(R10="","",IF(Q10=0,0,(R10-Q10)/ABS(Q10)))</f>
        <v/>
      </c>
      <c r="U10" s="21">
        <f>IF(R10="","",IF(T10&lt;=0,"On Track",IF(T10&lt;=Assumptions!$B$24,"Monitor","Action Needed")))</f>
        <v/>
      </c>
      <c r="V10" s="19">
        <f>Assumptions!$B$8*Assumptions!$B$16/Assumptions!$B$9</f>
        <v/>
      </c>
      <c r="W10" s="25" t="n"/>
      <c r="X10" s="33">
        <f>IF(W10="","",W10-V10)</f>
        <v/>
      </c>
      <c r="Y10" s="20">
        <f>IF(W10="","",IF(V10=0,0,(W10-V10)/ABS(V10)))</f>
        <v/>
      </c>
      <c r="Z10" s="21">
        <f>IF(W10="","",IF(Y10&lt;=0,"On Track",IF(Y10&lt;=Assumptions!$B$24,"Monitor","Action Needed")))</f>
        <v/>
      </c>
      <c r="AA10" s="19">
        <f>Assumptions!$B$8*Assumptions!$B$16/Assumptions!$B$9</f>
        <v/>
      </c>
      <c r="AB10" s="25" t="n"/>
      <c r="AC10" s="33">
        <f>IF(AB10="","",AB10-AA10)</f>
        <v/>
      </c>
      <c r="AD10" s="20">
        <f>IF(AB10="","",IF(AA10=0,0,(AB10-AA10)/ABS(AA10)))</f>
        <v/>
      </c>
      <c r="AE10" s="21">
        <f>IF(AB10="","",IF(AD10&lt;=0,"On Track",IF(AD10&lt;=Assumptions!$B$24,"Monitor","Action Needed")))</f>
        <v/>
      </c>
    </row>
    <row r="11">
      <c r="A11" s="6" t="inlineStr">
        <is>
          <t>TOTAL OUTFLOWS</t>
        </is>
      </c>
      <c r="B11" s="13">
        <f>B7+B8+B9+B10</f>
        <v/>
      </c>
      <c r="C11" s="13">
        <f>IF(AND(C7&lt;&gt;"",C8&lt;&gt;"",C9&lt;&gt;"",C10&lt;&gt;""),C7+C8+C9+C10,"")</f>
        <v/>
      </c>
      <c r="D11" s="33">
        <f>IF(C11="","",C11-B11)</f>
        <v/>
      </c>
      <c r="E11" s="20">
        <f>IF(C11="","",IF(B11=0,0,(C11-B11)/ABS(B11)))</f>
        <v/>
      </c>
      <c r="F11" s="21">
        <f>IF(C11="","",IF(E11&lt;=0,"On Track",IF(E11&lt;=Assumptions!$B$24,"Monitor","Action Needed")))</f>
        <v/>
      </c>
      <c r="G11" s="13">
        <f>G7+G8+G9+G10</f>
        <v/>
      </c>
      <c r="H11" s="13">
        <f>IF(AND(H7&lt;&gt;"",H8&lt;&gt;"",H9&lt;&gt;"",H10&lt;&gt;""),H7+H8+H9+H10,"")</f>
        <v/>
      </c>
      <c r="I11" s="33">
        <f>IF(H11="","",H11-G11)</f>
        <v/>
      </c>
      <c r="J11" s="20">
        <f>IF(H11="","",IF(G11=0,0,(H11-G11)/ABS(G11)))</f>
        <v/>
      </c>
      <c r="K11" s="21">
        <f>IF(H11="","",IF(J11&lt;=0,"On Track",IF(J11&lt;=Assumptions!$B$24,"Monitor","Action Needed")))</f>
        <v/>
      </c>
      <c r="L11" s="13">
        <f>L7+L8+L9+L10</f>
        <v/>
      </c>
      <c r="M11" s="13">
        <f>IF(AND(M7&lt;&gt;"",M8&lt;&gt;"",M9&lt;&gt;"",M10&lt;&gt;""),M7+M8+M9+M10,"")</f>
        <v/>
      </c>
      <c r="N11" s="33">
        <f>IF(M11="","",M11-L11)</f>
        <v/>
      </c>
      <c r="O11" s="20">
        <f>IF(M11="","",IF(L11=0,0,(M11-L11)/ABS(L11)))</f>
        <v/>
      </c>
      <c r="P11" s="21">
        <f>IF(M11="","",IF(O11&lt;=0,"On Track",IF(O11&lt;=Assumptions!$B$24,"Monitor","Action Needed")))</f>
        <v/>
      </c>
      <c r="Q11" s="13">
        <f>Q7+Q8+Q9+Q10</f>
        <v/>
      </c>
      <c r="R11" s="13">
        <f>IF(AND(R7&lt;&gt;"",R8&lt;&gt;"",R9&lt;&gt;"",R10&lt;&gt;""),R7+R8+R9+R10,"")</f>
        <v/>
      </c>
      <c r="S11" s="33">
        <f>IF(R11="","",R11-Q11)</f>
        <v/>
      </c>
      <c r="T11" s="20">
        <f>IF(R11="","",IF(Q11=0,0,(R11-Q11)/ABS(Q11)))</f>
        <v/>
      </c>
      <c r="U11" s="21">
        <f>IF(R11="","",IF(T11&lt;=0,"On Track",IF(T11&lt;=Assumptions!$B$24,"Monitor","Action Needed")))</f>
        <v/>
      </c>
      <c r="V11" s="13">
        <f>V7+V8+V9+V10</f>
        <v/>
      </c>
      <c r="W11" s="13">
        <f>IF(AND(W7&lt;&gt;"",W8&lt;&gt;"",W9&lt;&gt;"",W10&lt;&gt;""),W7+W8+W9+W10,"")</f>
        <v/>
      </c>
      <c r="X11" s="33">
        <f>IF(W11="","",W11-V11)</f>
        <v/>
      </c>
      <c r="Y11" s="20">
        <f>IF(W11="","",IF(V11=0,0,(W11-V11)/ABS(V11)))</f>
        <v/>
      </c>
      <c r="Z11" s="21">
        <f>IF(W11="","",IF(Y11&lt;=0,"On Track",IF(Y11&lt;=Assumptions!$B$24,"Monitor","Action Needed")))</f>
        <v/>
      </c>
      <c r="AA11" s="13">
        <f>AA7+AA8+AA9+AA10</f>
        <v/>
      </c>
      <c r="AB11" s="13">
        <f>IF(AND(AB7&lt;&gt;"",AB8&lt;&gt;"",AB9&lt;&gt;"",AB10&lt;&gt;""),AB7+AB8+AB9+AB10,"")</f>
        <v/>
      </c>
      <c r="AC11" s="33">
        <f>IF(AB11="","",AB11-AA11)</f>
        <v/>
      </c>
      <c r="AD11" s="20">
        <f>IF(AB11="","",IF(AA11=0,0,(AB11-AA11)/ABS(AA11)))</f>
        <v/>
      </c>
      <c r="AE11" s="21">
        <f>IF(AB11="","",IF(AD11&lt;=0,"On Track",IF(AD11&lt;=Assumptions!$B$24,"Monitor","Action Needed")))</f>
        <v/>
      </c>
    </row>
    <row r="12"/>
    <row r="13">
      <c r="A13" s="3" t="inlineStr">
        <is>
          <t>CASH INFLOWS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</row>
    <row r="14">
      <c r="A14" s="17" t="inlineStr">
        <is>
          <t xml:space="preserve">  Progress Billing</t>
        </is>
      </c>
      <c r="B14" s="19">
        <f>Assumptions!$B$33+Assumptions!$B$31</f>
        <v/>
      </c>
      <c r="C14" s="25" t="n"/>
      <c r="D14" s="33">
        <f>IF(C14="","",C14-B14)</f>
        <v/>
      </c>
      <c r="E14" s="20">
        <f>IF(C14="","",IF(B14=0,0,(C14-B14)/ABS(B14)))</f>
        <v/>
      </c>
      <c r="F14" s="21">
        <f>IF(C14="","",IF(E14&gt;=0,"On Track",IF(E14&gt;=-Assumptions!$B$24,"Monitor","Action Needed")))</f>
        <v/>
      </c>
      <c r="G14" s="19">
        <f>Assumptions!$B$33</f>
        <v/>
      </c>
      <c r="H14" s="25" t="n"/>
      <c r="I14" s="33">
        <f>IF(H14="","",H14-G14)</f>
        <v/>
      </c>
      <c r="J14" s="20">
        <f>IF(H14="","",IF(G14=0,0,(H14-G14)/ABS(G14)))</f>
        <v/>
      </c>
      <c r="K14" s="21">
        <f>IF(H14="","",IF(J14&gt;=0,"On Track",IF(J14&gt;=-Assumptions!$B$24,"Monitor","Action Needed")))</f>
        <v/>
      </c>
      <c r="L14" s="19">
        <f>Assumptions!$B$33</f>
        <v/>
      </c>
      <c r="M14" s="25" t="n"/>
      <c r="N14" s="33">
        <f>IF(M14="","",M14-L14)</f>
        <v/>
      </c>
      <c r="O14" s="20">
        <f>IF(M14="","",IF(L14=0,0,(M14-L14)/ABS(L14)))</f>
        <v/>
      </c>
      <c r="P14" s="21">
        <f>IF(M14="","",IF(O14&gt;=0,"On Track",IF(O14&gt;=-Assumptions!$B$24,"Monitor","Action Needed")))</f>
        <v/>
      </c>
      <c r="Q14" s="19">
        <f>Assumptions!$B$33</f>
        <v/>
      </c>
      <c r="R14" s="25" t="n"/>
      <c r="S14" s="33">
        <f>IF(R14="","",R14-Q14)</f>
        <v/>
      </c>
      <c r="T14" s="20">
        <f>IF(R14="","",IF(Q14=0,0,(R14-Q14)/ABS(Q14)))</f>
        <v/>
      </c>
      <c r="U14" s="21">
        <f>IF(R14="","",IF(T14&gt;=0,"On Track",IF(T14&gt;=-Assumptions!$B$24,"Monitor","Action Needed")))</f>
        <v/>
      </c>
      <c r="V14" s="19">
        <f>Assumptions!$B$33</f>
        <v/>
      </c>
      <c r="W14" s="25" t="n"/>
      <c r="X14" s="33">
        <f>IF(W14="","",W14-V14)</f>
        <v/>
      </c>
      <c r="Y14" s="20">
        <f>IF(W14="","",IF(V14=0,0,(W14-V14)/ABS(V14)))</f>
        <v/>
      </c>
      <c r="Z14" s="21">
        <f>IF(W14="","",IF(Y14&gt;=0,"On Track",IF(Y14&gt;=-Assumptions!$B$24,"Monitor","Action Needed")))</f>
        <v/>
      </c>
      <c r="AA14" s="19">
        <f>Assumptions!$B$33+Assumptions!$B$32</f>
        <v/>
      </c>
      <c r="AB14" s="25" t="n"/>
      <c r="AC14" s="33">
        <f>IF(AB14="","",AB14-AA14)</f>
        <v/>
      </c>
      <c r="AD14" s="20">
        <f>IF(AB14="","",IF(AA14=0,0,(AB14-AA14)/ABS(AA14)))</f>
        <v/>
      </c>
      <c r="AE14" s="21">
        <f>IF(AB14="","",IF(AD14&gt;=0,"On Track",IF(AD14&gt;=-Assumptions!$B$24,"Monitor","Action Needed")))</f>
        <v/>
      </c>
    </row>
    <row r="15"/>
    <row r="16">
      <c r="A16" s="3" t="inlineStr">
        <is>
          <t>NET CASH FLOW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</row>
    <row r="17">
      <c r="A17" s="34" t="inlineStr">
        <is>
          <t>Net Cash Flow</t>
        </is>
      </c>
      <c r="B17" s="35">
        <f>B14-B11</f>
        <v/>
      </c>
      <c r="C17" s="35">
        <f>IF(OR(C14="",C11=""),"",C14-C11)</f>
        <v/>
      </c>
      <c r="D17" s="33">
        <f>IF(C17="","",C17-B17)</f>
        <v/>
      </c>
      <c r="E17" s="20">
        <f>IF(C17="","",IF(B17=0,0,(C17-B17)/ABS(B17)))</f>
        <v/>
      </c>
      <c r="F17" s="21">
        <f>IF(C17="","",IF(E17&gt;=0,"On Track",IF(E17&gt;=-Assumptions!$B$24,"Monitor","Action Needed")))</f>
        <v/>
      </c>
      <c r="G17" s="35">
        <f>G14-G11</f>
        <v/>
      </c>
      <c r="H17" s="35">
        <f>IF(OR(H14="",H11=""),"",H14-H11)</f>
        <v/>
      </c>
      <c r="I17" s="33">
        <f>IF(H17="","",H17-G17)</f>
        <v/>
      </c>
      <c r="J17" s="20">
        <f>IF(H17="","",IF(G17=0,0,(H17-G17)/ABS(G17)))</f>
        <v/>
      </c>
      <c r="K17" s="21">
        <f>IF(H17="","",IF(J17&gt;=0,"On Track",IF(J17&gt;=-Assumptions!$B$24,"Monitor","Action Needed")))</f>
        <v/>
      </c>
      <c r="L17" s="35">
        <f>L14-L11</f>
        <v/>
      </c>
      <c r="M17" s="35">
        <f>IF(OR(M14="",M11=""),"",M14-M11)</f>
        <v/>
      </c>
      <c r="N17" s="33">
        <f>IF(M17="","",M17-L17)</f>
        <v/>
      </c>
      <c r="O17" s="20">
        <f>IF(M17="","",IF(L17=0,0,(M17-L17)/ABS(L17)))</f>
        <v/>
      </c>
      <c r="P17" s="21">
        <f>IF(M17="","",IF(O17&gt;=0,"On Track",IF(O17&gt;=-Assumptions!$B$24,"Monitor","Action Needed")))</f>
        <v/>
      </c>
      <c r="Q17" s="35">
        <f>Q14-Q11</f>
        <v/>
      </c>
      <c r="R17" s="35">
        <f>IF(OR(R14="",R11=""),"",R14-R11)</f>
        <v/>
      </c>
      <c r="S17" s="33">
        <f>IF(R17="","",R17-Q17)</f>
        <v/>
      </c>
      <c r="T17" s="20">
        <f>IF(R17="","",IF(Q17=0,0,(R17-Q17)/ABS(Q17)))</f>
        <v/>
      </c>
      <c r="U17" s="21">
        <f>IF(R17="","",IF(T17&gt;=0,"On Track",IF(T17&gt;=-Assumptions!$B$24,"Monitor","Action Needed")))</f>
        <v/>
      </c>
      <c r="V17" s="35">
        <f>V14-V11</f>
        <v/>
      </c>
      <c r="W17" s="35">
        <f>IF(OR(W14="",W11=""),"",W14-W11)</f>
        <v/>
      </c>
      <c r="X17" s="33">
        <f>IF(W17="","",W17-V17)</f>
        <v/>
      </c>
      <c r="Y17" s="20">
        <f>IF(W17="","",IF(V17=0,0,(W17-V17)/ABS(V17)))</f>
        <v/>
      </c>
      <c r="Z17" s="21">
        <f>IF(W17="","",IF(Y17&gt;=0,"On Track",IF(Y17&gt;=-Assumptions!$B$24,"Monitor","Action Needed")))</f>
        <v/>
      </c>
      <c r="AA17" s="35">
        <f>AA14-AA11</f>
        <v/>
      </c>
      <c r="AB17" s="35">
        <f>IF(OR(AB14="",AB11=""),"",AB14-AB11)</f>
        <v/>
      </c>
      <c r="AC17" s="33">
        <f>IF(AB17="","",AB17-AA17)</f>
        <v/>
      </c>
      <c r="AD17" s="20">
        <f>IF(AB17="","",IF(AA17=0,0,(AB17-AA17)/ABS(AA17)))</f>
        <v/>
      </c>
      <c r="AE17" s="21">
        <f>IF(AB17="","",IF(AD17&gt;=0,"On Track",IF(AD17&gt;=-Assumptions!$B$24,"Monitor","Action Needed")))</f>
        <v/>
      </c>
    </row>
    <row r="18">
      <c r="A18" s="34" t="inlineStr">
        <is>
          <t>Cumulative Cash Flow</t>
        </is>
      </c>
      <c r="B18" s="35">
        <f>B17</f>
        <v/>
      </c>
      <c r="C18" s="36" t="inlineStr"/>
      <c r="D18" s="36" t="inlineStr"/>
      <c r="E18" s="36" t="inlineStr"/>
      <c r="F18" s="36" t="inlineStr"/>
      <c r="G18" s="35">
        <f>B18+G17</f>
        <v/>
      </c>
      <c r="H18" s="36" t="inlineStr"/>
      <c r="I18" s="36" t="inlineStr"/>
      <c r="J18" s="36" t="inlineStr"/>
      <c r="K18" s="36" t="inlineStr"/>
      <c r="L18" s="35">
        <f>G18+L17</f>
        <v/>
      </c>
      <c r="M18" s="36" t="inlineStr"/>
      <c r="N18" s="36" t="inlineStr"/>
      <c r="O18" s="36" t="inlineStr"/>
      <c r="P18" s="36" t="inlineStr"/>
      <c r="Q18" s="35">
        <f>L18+Q17</f>
        <v/>
      </c>
      <c r="R18" s="36" t="inlineStr"/>
      <c r="S18" s="36" t="inlineStr"/>
      <c r="T18" s="36" t="inlineStr"/>
      <c r="U18" s="36" t="inlineStr"/>
      <c r="V18" s="35">
        <f>Q18+V17</f>
        <v/>
      </c>
      <c r="W18" s="36" t="inlineStr"/>
      <c r="X18" s="36" t="inlineStr"/>
      <c r="Y18" s="36" t="inlineStr"/>
      <c r="Z18" s="36" t="inlineStr"/>
      <c r="AA18" s="35">
        <f>V18+AA17</f>
        <v/>
      </c>
      <c r="AB18" s="36" t="inlineStr"/>
      <c r="AC18" s="36" t="inlineStr"/>
      <c r="AD18" s="36" t="inlineStr"/>
      <c r="AE18" s="36" t="inlineStr"/>
    </row>
    <row r="19"/>
    <row r="20">
      <c r="A20" s="3" t="inlineStr">
        <is>
          <t>NPV ANALYSIS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</row>
    <row r="21">
      <c r="A21" s="17" t="inlineStr">
        <is>
          <t>Time Value Factor (Discount)</t>
        </is>
      </c>
      <c r="B21" s="37">
        <f>1/(1+Assumptions!$B$10/12)^1</f>
        <v/>
      </c>
      <c r="C21" s="36" t="inlineStr"/>
      <c r="D21" s="36" t="inlineStr"/>
      <c r="E21" s="36" t="inlineStr"/>
      <c r="F21" s="36" t="inlineStr"/>
      <c r="G21" s="37">
        <f>1/(1+Assumptions!$B$10/12)^2</f>
        <v/>
      </c>
      <c r="H21" s="36" t="inlineStr"/>
      <c r="I21" s="36" t="inlineStr"/>
      <c r="J21" s="36" t="inlineStr"/>
      <c r="K21" s="36" t="inlineStr"/>
      <c r="L21" s="37">
        <f>1/(1+Assumptions!$B$10/12)^3</f>
        <v/>
      </c>
      <c r="M21" s="36" t="inlineStr"/>
      <c r="N21" s="36" t="inlineStr"/>
      <c r="O21" s="36" t="inlineStr"/>
      <c r="P21" s="36" t="inlineStr"/>
      <c r="Q21" s="37">
        <f>1/(1+Assumptions!$B$10/12)^4</f>
        <v/>
      </c>
      <c r="R21" s="36" t="inlineStr"/>
      <c r="S21" s="36" t="inlineStr"/>
      <c r="T21" s="36" t="inlineStr"/>
      <c r="U21" s="36" t="inlineStr"/>
      <c r="V21" s="37">
        <f>1/(1+Assumptions!$B$10/12)^5</f>
        <v/>
      </c>
      <c r="W21" s="36" t="inlineStr"/>
      <c r="X21" s="36" t="inlineStr"/>
      <c r="Y21" s="36" t="inlineStr"/>
      <c r="Z21" s="36" t="inlineStr"/>
      <c r="AA21" s="37">
        <f>1/(1+Assumptions!$B$10/12)^6</f>
        <v/>
      </c>
      <c r="AB21" s="36" t="inlineStr"/>
      <c r="AC21" s="36" t="inlineStr"/>
      <c r="AD21" s="36" t="inlineStr"/>
      <c r="AE21" s="36" t="inlineStr"/>
    </row>
    <row r="22">
      <c r="A22" s="17" t="inlineStr">
        <is>
          <t>Adjusted Cash Flow (Discounted)</t>
        </is>
      </c>
      <c r="B22" s="33">
        <f>B17*B21</f>
        <v/>
      </c>
      <c r="C22" s="36" t="inlineStr"/>
      <c r="D22" s="36" t="inlineStr"/>
      <c r="E22" s="36" t="inlineStr"/>
      <c r="F22" s="36" t="inlineStr"/>
      <c r="G22" s="33">
        <f>G17*G21</f>
        <v/>
      </c>
      <c r="H22" s="36" t="inlineStr"/>
      <c r="I22" s="36" t="inlineStr"/>
      <c r="J22" s="36" t="inlineStr"/>
      <c r="K22" s="36" t="inlineStr"/>
      <c r="L22" s="33">
        <f>L17*L21</f>
        <v/>
      </c>
      <c r="M22" s="36" t="inlineStr"/>
      <c r="N22" s="36" t="inlineStr"/>
      <c r="O22" s="36" t="inlineStr"/>
      <c r="P22" s="36" t="inlineStr"/>
      <c r="Q22" s="33">
        <f>Q17*Q21</f>
        <v/>
      </c>
      <c r="R22" s="36" t="inlineStr"/>
      <c r="S22" s="36" t="inlineStr"/>
      <c r="T22" s="36" t="inlineStr"/>
      <c r="U22" s="36" t="inlineStr"/>
      <c r="V22" s="33">
        <f>V17*V21</f>
        <v/>
      </c>
      <c r="W22" s="36" t="inlineStr"/>
      <c r="X22" s="36" t="inlineStr"/>
      <c r="Y22" s="36" t="inlineStr"/>
      <c r="Z22" s="36" t="inlineStr"/>
      <c r="AA22" s="33">
        <f>AA17*AA21</f>
        <v/>
      </c>
      <c r="AB22" s="36" t="inlineStr"/>
      <c r="AC22" s="36" t="inlineStr"/>
      <c r="AD22" s="36" t="inlineStr"/>
      <c r="AE22" s="36" t="inlineStr"/>
    </row>
    <row r="23">
      <c r="A23" s="34" t="inlineStr">
        <is>
          <t>Running Total Value (Cumulative NPV)</t>
        </is>
      </c>
      <c r="B23" s="35">
        <f>B22</f>
        <v/>
      </c>
      <c r="C23" s="36" t="inlineStr"/>
      <c r="D23" s="36" t="inlineStr"/>
      <c r="E23" s="36" t="inlineStr"/>
      <c r="F23" s="36" t="inlineStr"/>
      <c r="G23" s="35">
        <f>B23+G22</f>
        <v/>
      </c>
      <c r="H23" s="36" t="inlineStr"/>
      <c r="I23" s="36" t="inlineStr"/>
      <c r="J23" s="36" t="inlineStr"/>
      <c r="K23" s="36" t="inlineStr"/>
      <c r="L23" s="35">
        <f>G23+L22</f>
        <v/>
      </c>
      <c r="M23" s="36" t="inlineStr"/>
      <c r="N23" s="36" t="inlineStr"/>
      <c r="O23" s="36" t="inlineStr"/>
      <c r="P23" s="36" t="inlineStr"/>
      <c r="Q23" s="35">
        <f>L23+Q22</f>
        <v/>
      </c>
      <c r="R23" s="36" t="inlineStr"/>
      <c r="S23" s="36" t="inlineStr"/>
      <c r="T23" s="36" t="inlineStr"/>
      <c r="U23" s="36" t="inlineStr"/>
      <c r="V23" s="35">
        <f>Q23+V22</f>
        <v/>
      </c>
      <c r="W23" s="36" t="inlineStr"/>
      <c r="X23" s="36" t="inlineStr"/>
      <c r="Y23" s="36" t="inlineStr"/>
      <c r="Z23" s="36" t="inlineStr"/>
      <c r="AA23" s="35">
        <f>V23+AA22</f>
        <v/>
      </c>
      <c r="AB23" s="36" t="inlineStr"/>
      <c r="AC23" s="36" t="inlineStr"/>
      <c r="AD23" s="36" t="inlineStr"/>
      <c r="AE23" s="36" t="inlineStr"/>
    </row>
    <row r="24"/>
    <row r="25" hidden="1">
      <c r="A25" s="17" t="inlineStr">
        <is>
          <t>IRR helper (hidden)</t>
        </is>
      </c>
      <c r="B25" s="33">
        <f>-Assumptions!$B$28</f>
        <v/>
      </c>
      <c r="C25" s="33">
        <f>B14</f>
        <v/>
      </c>
      <c r="D25" s="33">
        <f>G14</f>
        <v/>
      </c>
      <c r="E25" s="33">
        <f>L14</f>
        <v/>
      </c>
      <c r="F25" s="33">
        <f>Q14</f>
        <v/>
      </c>
      <c r="G25" s="33">
        <f>V14</f>
        <v/>
      </c>
      <c r="H25" s="33">
        <f>AA14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E4B"/>
  <mergeCells count="8">
    <mergeCell ref="B4:F4"/>
    <mergeCell ref="AA4:AE4"/>
    <mergeCell ref="L4:P4"/>
    <mergeCell ref="A1:P1"/>
    <mergeCell ref="V4:Z4"/>
    <mergeCell ref="Q4:U4"/>
    <mergeCell ref="G4:K4"/>
    <mergeCell ref="A2:P2"/>
  </mergeCells>
  <conditionalFormatting sqref="F7:F26">
    <cfRule type="cellIs" priority="1" operator="equal" dxfId="0">
      <formula>"On Track"</formula>
    </cfRule>
    <cfRule type="cellIs" priority="2" operator="equal" dxfId="1">
      <formula>"Monitor"</formula>
    </cfRule>
    <cfRule type="cellIs" priority="3" operator="equal" dxfId="2">
      <formula>"Action Needed"</formula>
    </cfRule>
  </conditionalFormatting>
  <conditionalFormatting sqref="K7:K26">
    <cfRule type="cellIs" priority="4" operator="equal" dxfId="0">
      <formula>"On Track"</formula>
    </cfRule>
    <cfRule type="cellIs" priority="5" operator="equal" dxfId="1">
      <formula>"Monitor"</formula>
    </cfRule>
    <cfRule type="cellIs" priority="6" operator="equal" dxfId="2">
      <formula>"Action Needed"</formula>
    </cfRule>
  </conditionalFormatting>
  <conditionalFormatting sqref="P7:P26">
    <cfRule type="cellIs" priority="7" operator="equal" dxfId="0">
      <formula>"On Track"</formula>
    </cfRule>
    <cfRule type="cellIs" priority="8" operator="equal" dxfId="1">
      <formula>"Monitor"</formula>
    </cfRule>
    <cfRule type="cellIs" priority="9" operator="equal" dxfId="2">
      <formula>"Action Needed"</formula>
    </cfRule>
  </conditionalFormatting>
  <conditionalFormatting sqref="U7:U26">
    <cfRule type="cellIs" priority="10" operator="equal" dxfId="0">
      <formula>"On Track"</formula>
    </cfRule>
    <cfRule type="cellIs" priority="11" operator="equal" dxfId="1">
      <formula>"Monitor"</formula>
    </cfRule>
    <cfRule type="cellIs" priority="12" operator="equal" dxfId="2">
      <formula>"Action Needed"</formula>
    </cfRule>
  </conditionalFormatting>
  <conditionalFormatting sqref="Z7:Z26">
    <cfRule type="cellIs" priority="13" operator="equal" dxfId="0">
      <formula>"On Track"</formula>
    </cfRule>
    <cfRule type="cellIs" priority="14" operator="equal" dxfId="1">
      <formula>"Monitor"</formula>
    </cfRule>
    <cfRule type="cellIs" priority="15" operator="equal" dxfId="2">
      <formula>"Action Needed"</formula>
    </cfRule>
  </conditionalFormatting>
  <conditionalFormatting sqref="AE7:AE26">
    <cfRule type="cellIs" priority="16" operator="equal" dxfId="0">
      <formula>"On Track"</formula>
    </cfRule>
    <cfRule type="cellIs" priority="17" operator="equal" dxfId="1">
      <formula>"Monitor"</formula>
    </cfRule>
    <cfRule type="cellIs" priority="18" operator="equal" dxfId="2">
      <formula>"Action Needed"</formula>
    </cfRule>
  </conditionalFormatting>
  <pageMargins left="0.75" right="0.75" top="1" bottom="1" header="0.5" footer="0.5"/>
  <headerFooter>
    <oddHeader/>
    <oddFooter>&amp;R&amp;9 &amp;K808080Generated by Endall | endall.ai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9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What-If Scenarios (Sensitivity Analysis)</t>
        </is>
      </c>
    </row>
    <row r="2"/>
    <row r="3">
      <c r="A3" s="3" t="inlineStr">
        <is>
          <t>PROJECT VALUE BY COST OF MONEY (DISCOUNT RATE)</t>
        </is>
      </c>
      <c r="B3" s="4" t="inlineStr"/>
      <c r="C3" s="4" t="inlineStr"/>
    </row>
    <row r="4">
      <c r="A4" s="17" t="inlineStr">
        <is>
          <t>Cost of Money %</t>
        </is>
      </c>
      <c r="B4" s="17" t="inlineStr">
        <is>
          <t>Project Value (NPV)</t>
        </is>
      </c>
    </row>
    <row r="5">
      <c r="A5" s="38" t="n">
        <v>0.08</v>
      </c>
      <c r="B5" s="19">
        <f>(Assumptions!$B$33+Assumptions!$B$31-Assumptions!$B$8*(Assumptions!$B$13+Assumptions!$B$14+Assumptions!$B$15+Assumptions!$B$16)/Assumptions!$B$9)/(1+0.08/12)^1+(Assumptions!$B$33-Assumptions!$B$8*(Assumptions!$B$13+Assumptions!$B$14+Assumptions!$B$15+Assumptions!$B$16)/Assumptions!$B$9)/(1+0.08/12)^2+(Assumptions!$B$33-Assumptions!$B$8*(Assumptions!$B$13+Assumptions!$B$14+Assumptions!$B$15+Assumptions!$B$16)/Assumptions!$B$9)/(1+0.08/12)^3+(Assumptions!$B$33-Assumptions!$B$8*(Assumptions!$B$13+Assumptions!$B$14+Assumptions!$B$15+Assumptions!$B$16)/Assumptions!$B$9)/(1+0.08/12)^4+(Assumptions!$B$33-Assumptions!$B$8*(Assumptions!$B$13+Assumptions!$B$14+Assumptions!$B$15+Assumptions!$B$16)/Assumptions!$B$9)/(1+0.08/12)^5+(Assumptions!$B$33+Assumptions!$B$32-Assumptions!$B$8*(Assumptions!$B$13+Assumptions!$B$14+Assumptions!$B$15+Assumptions!$B$16)/Assumptions!$B$9)/(1+0.08/12)^6</f>
        <v/>
      </c>
    </row>
    <row r="6">
      <c r="A6" s="38" t="n">
        <v>0.1</v>
      </c>
      <c r="B6" s="39">
        <f>(Assumptions!$B$33+Assumptions!$B$31-Assumptions!$B$8*(Assumptions!$B$13+Assumptions!$B$14+Assumptions!$B$15+Assumptions!$B$16)/Assumptions!$B$9)/(1+0.1/12)^1+(Assumptions!$B$33-Assumptions!$B$8*(Assumptions!$B$13+Assumptions!$B$14+Assumptions!$B$15+Assumptions!$B$16)/Assumptions!$B$9)/(1+0.1/12)^2+(Assumptions!$B$33-Assumptions!$B$8*(Assumptions!$B$13+Assumptions!$B$14+Assumptions!$B$15+Assumptions!$B$16)/Assumptions!$B$9)/(1+0.1/12)^3+(Assumptions!$B$33-Assumptions!$B$8*(Assumptions!$B$13+Assumptions!$B$14+Assumptions!$B$15+Assumptions!$B$16)/Assumptions!$B$9)/(1+0.1/12)^4+(Assumptions!$B$33-Assumptions!$B$8*(Assumptions!$B$13+Assumptions!$B$14+Assumptions!$B$15+Assumptions!$B$16)/Assumptions!$B$9)/(1+0.1/12)^5+(Assumptions!$B$33+Assumptions!$B$32-Assumptions!$B$8*(Assumptions!$B$13+Assumptions!$B$14+Assumptions!$B$15+Assumptions!$B$16)/Assumptions!$B$9)/(1+0.1/12)^6</f>
        <v/>
      </c>
    </row>
    <row r="7">
      <c r="A7" s="38" t="n">
        <v>0.12</v>
      </c>
      <c r="B7" s="19">
        <f>(Assumptions!$B$33+Assumptions!$B$31-Assumptions!$B$8*(Assumptions!$B$13+Assumptions!$B$14+Assumptions!$B$15+Assumptions!$B$16)/Assumptions!$B$9)/(1+0.12/12)^1+(Assumptions!$B$33-Assumptions!$B$8*(Assumptions!$B$13+Assumptions!$B$14+Assumptions!$B$15+Assumptions!$B$16)/Assumptions!$B$9)/(1+0.12/12)^2+(Assumptions!$B$33-Assumptions!$B$8*(Assumptions!$B$13+Assumptions!$B$14+Assumptions!$B$15+Assumptions!$B$16)/Assumptions!$B$9)/(1+0.12/12)^3+(Assumptions!$B$33-Assumptions!$B$8*(Assumptions!$B$13+Assumptions!$B$14+Assumptions!$B$15+Assumptions!$B$16)/Assumptions!$B$9)/(1+0.12/12)^4+(Assumptions!$B$33-Assumptions!$B$8*(Assumptions!$B$13+Assumptions!$B$14+Assumptions!$B$15+Assumptions!$B$16)/Assumptions!$B$9)/(1+0.12/12)^5+(Assumptions!$B$33+Assumptions!$B$32-Assumptions!$B$8*(Assumptions!$B$13+Assumptions!$B$14+Assumptions!$B$15+Assumptions!$B$16)/Assumptions!$B$9)/(1+0.12/12)^6</f>
        <v/>
      </c>
    </row>
    <row r="8">
      <c r="A8" s="38" t="n">
        <v>0.14</v>
      </c>
      <c r="B8" s="19">
        <f>(Assumptions!$B$33+Assumptions!$B$31-Assumptions!$B$8*(Assumptions!$B$13+Assumptions!$B$14+Assumptions!$B$15+Assumptions!$B$16)/Assumptions!$B$9)/(1+0.14/12)^1+(Assumptions!$B$33-Assumptions!$B$8*(Assumptions!$B$13+Assumptions!$B$14+Assumptions!$B$15+Assumptions!$B$16)/Assumptions!$B$9)/(1+0.14/12)^2+(Assumptions!$B$33-Assumptions!$B$8*(Assumptions!$B$13+Assumptions!$B$14+Assumptions!$B$15+Assumptions!$B$16)/Assumptions!$B$9)/(1+0.14/12)^3+(Assumptions!$B$33-Assumptions!$B$8*(Assumptions!$B$13+Assumptions!$B$14+Assumptions!$B$15+Assumptions!$B$16)/Assumptions!$B$9)/(1+0.14/12)^4+(Assumptions!$B$33-Assumptions!$B$8*(Assumptions!$B$13+Assumptions!$B$14+Assumptions!$B$15+Assumptions!$B$16)/Assumptions!$B$9)/(1+0.14/12)^5+(Assumptions!$B$33+Assumptions!$B$32-Assumptions!$B$8*(Assumptions!$B$13+Assumptions!$B$14+Assumptions!$B$15+Assumptions!$B$16)/Assumptions!$B$9)/(1+0.14/12)^6</f>
        <v/>
      </c>
    </row>
    <row r="9">
      <c r="A9" s="38" t="n">
        <v>0.16</v>
      </c>
      <c r="B9" s="19">
        <f>(Assumptions!$B$33+Assumptions!$B$31-Assumptions!$B$8*(Assumptions!$B$13+Assumptions!$B$14+Assumptions!$B$15+Assumptions!$B$16)/Assumptions!$B$9)/(1+0.16/12)^1+(Assumptions!$B$33-Assumptions!$B$8*(Assumptions!$B$13+Assumptions!$B$14+Assumptions!$B$15+Assumptions!$B$16)/Assumptions!$B$9)/(1+0.16/12)^2+(Assumptions!$B$33-Assumptions!$B$8*(Assumptions!$B$13+Assumptions!$B$14+Assumptions!$B$15+Assumptions!$B$16)/Assumptions!$B$9)/(1+0.16/12)^3+(Assumptions!$B$33-Assumptions!$B$8*(Assumptions!$B$13+Assumptions!$B$14+Assumptions!$B$15+Assumptions!$B$16)/Assumptions!$B$9)/(1+0.16/12)^4+(Assumptions!$B$33-Assumptions!$B$8*(Assumptions!$B$13+Assumptions!$B$14+Assumptions!$B$15+Assumptions!$B$16)/Assumptions!$B$9)/(1+0.16/12)^5+(Assumptions!$B$33+Assumptions!$B$32-Assumptions!$B$8*(Assumptions!$B$13+Assumptions!$B$14+Assumptions!$B$15+Assumptions!$B$16)/Assumptions!$B$9)/(1+0.16/12)^6</f>
        <v/>
      </c>
    </row>
    <row r="10"/>
    <row r="11"/>
    <row r="12">
      <c r="A12" s="3" t="inlineStr">
        <is>
          <t>PROJECT VALUE BY LABOR COST x TIMELINE</t>
        </is>
      </c>
      <c r="B12" s="4" t="inlineStr"/>
      <c r="C12" s="4" t="inlineStr"/>
      <c r="D12" s="4" t="inlineStr"/>
      <c r="E12" s="4" t="inlineStr"/>
      <c r="F12" s="4" t="inlineStr"/>
      <c r="G12" s="4" t="inlineStr"/>
    </row>
    <row r="13">
      <c r="A13" s="17" t="inlineStr">
        <is>
          <t>Labor \ Timeline</t>
        </is>
      </c>
      <c r="B13" s="40">
        <f>Assumptions!$B$9+-2&amp;"mo"</f>
        <v/>
      </c>
      <c r="C13" s="40">
        <f>Assumptions!$B$9+-1&amp;"mo"</f>
        <v/>
      </c>
      <c r="D13" s="40">
        <f>Assumptions!$B$9&amp;"mo (base)"</f>
        <v/>
      </c>
      <c r="E13" s="40">
        <f>Assumptions!$B$9+1&amp;"mo"</f>
        <v/>
      </c>
      <c r="F13" s="40">
        <f>Assumptions!$B$9+2&amp;"mo"</f>
        <v/>
      </c>
    </row>
    <row r="14">
      <c r="A14" s="20">
        <f>Assumptions!$B$13*(1+-0.2)</f>
        <v/>
      </c>
      <c r="B14" s="41">
        <f>Assumptions!$B$8*Assumptions!$B$19+(Assumptions!$B$8/(MAX(1,Assumptions!$B$9+-2))*(1-Assumptions!$B$19-Assumptions!$B$20)-Assumptions!$B$8*(Assumptions!$B$13*(1+-0.2)+Assumptions!$B$14+Assumptions!$B$15+Assumptions!$B$16)/(MAX(1,Assumptions!$B$9+-2)))*(1-(1+Assumptions!$B$10/12)^-(MAX(1,Assumptions!$B$9+-2)))/(Assumptions!$B$10/12)+Assumptions!$B$8*Assumptions!$B$20/(1+Assumptions!$B$10/12)^(MAX(1,Assumptions!$B$9+-2))</f>
        <v/>
      </c>
      <c r="C14" s="41">
        <f>Assumptions!$B$8*Assumptions!$B$19+(Assumptions!$B$8/(MAX(1,Assumptions!$B$9+-1))*(1-Assumptions!$B$19-Assumptions!$B$20)-Assumptions!$B$8*(Assumptions!$B$13*(1+-0.2)+Assumptions!$B$14+Assumptions!$B$15+Assumptions!$B$16)/(MAX(1,Assumptions!$B$9+-1)))*(1-(1+Assumptions!$B$10/12)^-(MAX(1,Assumptions!$B$9+-1)))/(Assumptions!$B$10/12)+Assumptions!$B$8*Assumptions!$B$20/(1+Assumptions!$B$10/12)^(MAX(1,Assumptions!$B$9+-1))</f>
        <v/>
      </c>
      <c r="D14" s="41">
        <f>Assumptions!$B$8*Assumptions!$B$19+(Assumptions!$B$8/(MAX(1,Assumptions!$B$9+0))*(1-Assumptions!$B$19-Assumptions!$B$20)-Assumptions!$B$8*(Assumptions!$B$13*(1+-0.2)+Assumptions!$B$14+Assumptions!$B$15+Assumptions!$B$16)/(MAX(1,Assumptions!$B$9+0)))*(1-(1+Assumptions!$B$10/12)^-(MAX(1,Assumptions!$B$9+0)))/(Assumptions!$B$10/12)+Assumptions!$B$8*Assumptions!$B$20/(1+Assumptions!$B$10/12)^(MAX(1,Assumptions!$B$9+0))</f>
        <v/>
      </c>
      <c r="E14" s="41">
        <f>Assumptions!$B$8*Assumptions!$B$19+(Assumptions!$B$8/(MAX(1,Assumptions!$B$9+1))*(1-Assumptions!$B$19-Assumptions!$B$20)-Assumptions!$B$8*(Assumptions!$B$13*(1+-0.2)+Assumptions!$B$14+Assumptions!$B$15+Assumptions!$B$16)/(MAX(1,Assumptions!$B$9+1)))*(1-(1+Assumptions!$B$10/12)^-(MAX(1,Assumptions!$B$9+1)))/(Assumptions!$B$10/12)+Assumptions!$B$8*Assumptions!$B$20/(1+Assumptions!$B$10/12)^(MAX(1,Assumptions!$B$9+1))</f>
        <v/>
      </c>
      <c r="F14" s="41">
        <f>Assumptions!$B$8*Assumptions!$B$19+(Assumptions!$B$8/(MAX(1,Assumptions!$B$9+2))*(1-Assumptions!$B$19-Assumptions!$B$20)-Assumptions!$B$8*(Assumptions!$B$13*(1+-0.2)+Assumptions!$B$14+Assumptions!$B$15+Assumptions!$B$16)/(MAX(1,Assumptions!$B$9+2)))*(1-(1+Assumptions!$B$10/12)^-(MAX(1,Assumptions!$B$9+2)))/(Assumptions!$B$10/12)+Assumptions!$B$8*Assumptions!$B$20/(1+Assumptions!$B$10/12)^(MAX(1,Assumptions!$B$9+2))</f>
        <v/>
      </c>
    </row>
    <row r="15">
      <c r="A15" s="20">
        <f>Assumptions!$B$13*(1+-0.1)</f>
        <v/>
      </c>
      <c r="B15" s="41">
        <f>Assumptions!$B$8*Assumptions!$B$19+(Assumptions!$B$8/(MAX(1,Assumptions!$B$9+-2))*(1-Assumptions!$B$19-Assumptions!$B$20)-Assumptions!$B$8*(Assumptions!$B$13*(1+-0.1)+Assumptions!$B$14+Assumptions!$B$15+Assumptions!$B$16)/(MAX(1,Assumptions!$B$9+-2)))*(1-(1+Assumptions!$B$10/12)^-(MAX(1,Assumptions!$B$9+-2)))/(Assumptions!$B$10/12)+Assumptions!$B$8*Assumptions!$B$20/(1+Assumptions!$B$10/12)^(MAX(1,Assumptions!$B$9+-2))</f>
        <v/>
      </c>
      <c r="C15" s="41">
        <f>Assumptions!$B$8*Assumptions!$B$19+(Assumptions!$B$8/(MAX(1,Assumptions!$B$9+-1))*(1-Assumptions!$B$19-Assumptions!$B$20)-Assumptions!$B$8*(Assumptions!$B$13*(1+-0.1)+Assumptions!$B$14+Assumptions!$B$15+Assumptions!$B$16)/(MAX(1,Assumptions!$B$9+-1)))*(1-(1+Assumptions!$B$10/12)^-(MAX(1,Assumptions!$B$9+-1)))/(Assumptions!$B$10/12)+Assumptions!$B$8*Assumptions!$B$20/(1+Assumptions!$B$10/12)^(MAX(1,Assumptions!$B$9+-1))</f>
        <v/>
      </c>
      <c r="D15" s="41">
        <f>Assumptions!$B$8*Assumptions!$B$19+(Assumptions!$B$8/(MAX(1,Assumptions!$B$9+0))*(1-Assumptions!$B$19-Assumptions!$B$20)-Assumptions!$B$8*(Assumptions!$B$13*(1+-0.1)+Assumptions!$B$14+Assumptions!$B$15+Assumptions!$B$16)/(MAX(1,Assumptions!$B$9+0)))*(1-(1+Assumptions!$B$10/12)^-(MAX(1,Assumptions!$B$9+0)))/(Assumptions!$B$10/12)+Assumptions!$B$8*Assumptions!$B$20/(1+Assumptions!$B$10/12)^(MAX(1,Assumptions!$B$9+0))</f>
        <v/>
      </c>
      <c r="E15" s="41">
        <f>Assumptions!$B$8*Assumptions!$B$19+(Assumptions!$B$8/(MAX(1,Assumptions!$B$9+1))*(1-Assumptions!$B$19-Assumptions!$B$20)-Assumptions!$B$8*(Assumptions!$B$13*(1+-0.1)+Assumptions!$B$14+Assumptions!$B$15+Assumptions!$B$16)/(MAX(1,Assumptions!$B$9+1)))*(1-(1+Assumptions!$B$10/12)^-(MAX(1,Assumptions!$B$9+1)))/(Assumptions!$B$10/12)+Assumptions!$B$8*Assumptions!$B$20/(1+Assumptions!$B$10/12)^(MAX(1,Assumptions!$B$9+1))</f>
        <v/>
      </c>
      <c r="F15" s="41">
        <f>Assumptions!$B$8*Assumptions!$B$19+(Assumptions!$B$8/(MAX(1,Assumptions!$B$9+2))*(1-Assumptions!$B$19-Assumptions!$B$20)-Assumptions!$B$8*(Assumptions!$B$13*(1+-0.1)+Assumptions!$B$14+Assumptions!$B$15+Assumptions!$B$16)/(MAX(1,Assumptions!$B$9+2)))*(1-(1+Assumptions!$B$10/12)^-(MAX(1,Assumptions!$B$9+2)))/(Assumptions!$B$10/12)+Assumptions!$B$8*Assumptions!$B$20/(1+Assumptions!$B$10/12)^(MAX(1,Assumptions!$B$9+2))</f>
        <v/>
      </c>
    </row>
    <row r="16">
      <c r="A16" s="20">
        <f>Assumptions!$B$13</f>
        <v/>
      </c>
      <c r="B16" s="41">
        <f>Assumptions!$B$8*Assumptions!$B$19+(Assumptions!$B$8/(MAX(1,Assumptions!$B$9+-2))*(1-Assumptions!$B$19-Assumptions!$B$20)-Assumptions!$B$8*(Assumptions!$B$13+Assumptions!$B$14+Assumptions!$B$15+Assumptions!$B$16)/(MAX(1,Assumptions!$B$9+-2)))*(1-(1+Assumptions!$B$10/12)^-(MAX(1,Assumptions!$B$9+-2)))/(Assumptions!$B$10/12)+Assumptions!$B$8*Assumptions!$B$20/(1+Assumptions!$B$10/12)^(MAX(1,Assumptions!$B$9+-2))</f>
        <v/>
      </c>
      <c r="C16" s="41">
        <f>Assumptions!$B$8*Assumptions!$B$19+(Assumptions!$B$8/(MAX(1,Assumptions!$B$9+-1))*(1-Assumptions!$B$19-Assumptions!$B$20)-Assumptions!$B$8*(Assumptions!$B$13+Assumptions!$B$14+Assumptions!$B$15+Assumptions!$B$16)/(MAX(1,Assumptions!$B$9+-1)))*(1-(1+Assumptions!$B$10/12)^-(MAX(1,Assumptions!$B$9+-1)))/(Assumptions!$B$10/12)+Assumptions!$B$8*Assumptions!$B$20/(1+Assumptions!$B$10/12)^(MAX(1,Assumptions!$B$9+-1))</f>
        <v/>
      </c>
      <c r="D16" s="42">
        <f>Assumptions!$B$8*Assumptions!$B$19+(Assumptions!$B$8/(MAX(1,Assumptions!$B$9+0))*(1-Assumptions!$B$19-Assumptions!$B$20)-Assumptions!$B$8*(Assumptions!$B$13+Assumptions!$B$14+Assumptions!$B$15+Assumptions!$B$16)/(MAX(1,Assumptions!$B$9+0)))*(1-(1+Assumptions!$B$10/12)^-(MAX(1,Assumptions!$B$9+0)))/(Assumptions!$B$10/12)+Assumptions!$B$8*Assumptions!$B$20/(1+Assumptions!$B$10/12)^(MAX(1,Assumptions!$B$9+0))</f>
        <v/>
      </c>
      <c r="E16" s="41">
        <f>Assumptions!$B$8*Assumptions!$B$19+(Assumptions!$B$8/(MAX(1,Assumptions!$B$9+1))*(1-Assumptions!$B$19-Assumptions!$B$20)-Assumptions!$B$8*(Assumptions!$B$13+Assumptions!$B$14+Assumptions!$B$15+Assumptions!$B$16)/(MAX(1,Assumptions!$B$9+1)))*(1-(1+Assumptions!$B$10/12)^-(MAX(1,Assumptions!$B$9+1)))/(Assumptions!$B$10/12)+Assumptions!$B$8*Assumptions!$B$20/(1+Assumptions!$B$10/12)^(MAX(1,Assumptions!$B$9+1))</f>
        <v/>
      </c>
      <c r="F16" s="41">
        <f>Assumptions!$B$8*Assumptions!$B$19+(Assumptions!$B$8/(MAX(1,Assumptions!$B$9+2))*(1-Assumptions!$B$19-Assumptions!$B$20)-Assumptions!$B$8*(Assumptions!$B$13+Assumptions!$B$14+Assumptions!$B$15+Assumptions!$B$16)/(MAX(1,Assumptions!$B$9+2)))*(1-(1+Assumptions!$B$10/12)^-(MAX(1,Assumptions!$B$9+2)))/(Assumptions!$B$10/12)+Assumptions!$B$8*Assumptions!$B$20/(1+Assumptions!$B$10/12)^(MAX(1,Assumptions!$B$9+2))</f>
        <v/>
      </c>
    </row>
    <row r="17">
      <c r="A17" s="20">
        <f>Assumptions!$B$13*(1+0.1)</f>
        <v/>
      </c>
      <c r="B17" s="41">
        <f>Assumptions!$B$8*Assumptions!$B$19+(Assumptions!$B$8/(MAX(1,Assumptions!$B$9+-2))*(1-Assumptions!$B$19-Assumptions!$B$20)-Assumptions!$B$8*(Assumptions!$B$13*(1+0.1)+Assumptions!$B$14+Assumptions!$B$15+Assumptions!$B$16)/(MAX(1,Assumptions!$B$9+-2)))*(1-(1+Assumptions!$B$10/12)^-(MAX(1,Assumptions!$B$9+-2)))/(Assumptions!$B$10/12)+Assumptions!$B$8*Assumptions!$B$20/(1+Assumptions!$B$10/12)^(MAX(1,Assumptions!$B$9+-2))</f>
        <v/>
      </c>
      <c r="C17" s="41">
        <f>Assumptions!$B$8*Assumptions!$B$19+(Assumptions!$B$8/(MAX(1,Assumptions!$B$9+-1))*(1-Assumptions!$B$19-Assumptions!$B$20)-Assumptions!$B$8*(Assumptions!$B$13*(1+0.1)+Assumptions!$B$14+Assumptions!$B$15+Assumptions!$B$16)/(MAX(1,Assumptions!$B$9+-1)))*(1-(1+Assumptions!$B$10/12)^-(MAX(1,Assumptions!$B$9+-1)))/(Assumptions!$B$10/12)+Assumptions!$B$8*Assumptions!$B$20/(1+Assumptions!$B$10/12)^(MAX(1,Assumptions!$B$9+-1))</f>
        <v/>
      </c>
      <c r="D17" s="41">
        <f>Assumptions!$B$8*Assumptions!$B$19+(Assumptions!$B$8/(MAX(1,Assumptions!$B$9+0))*(1-Assumptions!$B$19-Assumptions!$B$20)-Assumptions!$B$8*(Assumptions!$B$13*(1+0.1)+Assumptions!$B$14+Assumptions!$B$15+Assumptions!$B$16)/(MAX(1,Assumptions!$B$9+0)))*(1-(1+Assumptions!$B$10/12)^-(MAX(1,Assumptions!$B$9+0)))/(Assumptions!$B$10/12)+Assumptions!$B$8*Assumptions!$B$20/(1+Assumptions!$B$10/12)^(MAX(1,Assumptions!$B$9+0))</f>
        <v/>
      </c>
      <c r="E17" s="41">
        <f>Assumptions!$B$8*Assumptions!$B$19+(Assumptions!$B$8/(MAX(1,Assumptions!$B$9+1))*(1-Assumptions!$B$19-Assumptions!$B$20)-Assumptions!$B$8*(Assumptions!$B$13*(1+0.1)+Assumptions!$B$14+Assumptions!$B$15+Assumptions!$B$16)/(MAX(1,Assumptions!$B$9+1)))*(1-(1+Assumptions!$B$10/12)^-(MAX(1,Assumptions!$B$9+1)))/(Assumptions!$B$10/12)+Assumptions!$B$8*Assumptions!$B$20/(1+Assumptions!$B$10/12)^(MAX(1,Assumptions!$B$9+1))</f>
        <v/>
      </c>
      <c r="F17" s="41">
        <f>Assumptions!$B$8*Assumptions!$B$19+(Assumptions!$B$8/(MAX(1,Assumptions!$B$9+2))*(1-Assumptions!$B$19-Assumptions!$B$20)-Assumptions!$B$8*(Assumptions!$B$13*(1+0.1)+Assumptions!$B$14+Assumptions!$B$15+Assumptions!$B$16)/(MAX(1,Assumptions!$B$9+2)))*(1-(1+Assumptions!$B$10/12)^-(MAX(1,Assumptions!$B$9+2)))/(Assumptions!$B$10/12)+Assumptions!$B$8*Assumptions!$B$20/(1+Assumptions!$B$10/12)^(MAX(1,Assumptions!$B$9+2))</f>
        <v/>
      </c>
    </row>
    <row r="18">
      <c r="A18" s="20">
        <f>Assumptions!$B$13*(1+0.2)</f>
        <v/>
      </c>
      <c r="B18" s="41">
        <f>Assumptions!$B$8*Assumptions!$B$19+(Assumptions!$B$8/(MAX(1,Assumptions!$B$9+-2))*(1-Assumptions!$B$19-Assumptions!$B$20)-Assumptions!$B$8*(Assumptions!$B$13*(1+0.2)+Assumptions!$B$14+Assumptions!$B$15+Assumptions!$B$16)/(MAX(1,Assumptions!$B$9+-2)))*(1-(1+Assumptions!$B$10/12)^-(MAX(1,Assumptions!$B$9+-2)))/(Assumptions!$B$10/12)+Assumptions!$B$8*Assumptions!$B$20/(1+Assumptions!$B$10/12)^(MAX(1,Assumptions!$B$9+-2))</f>
        <v/>
      </c>
      <c r="C18" s="41">
        <f>Assumptions!$B$8*Assumptions!$B$19+(Assumptions!$B$8/(MAX(1,Assumptions!$B$9+-1))*(1-Assumptions!$B$19-Assumptions!$B$20)-Assumptions!$B$8*(Assumptions!$B$13*(1+0.2)+Assumptions!$B$14+Assumptions!$B$15+Assumptions!$B$16)/(MAX(1,Assumptions!$B$9+-1)))*(1-(1+Assumptions!$B$10/12)^-(MAX(1,Assumptions!$B$9+-1)))/(Assumptions!$B$10/12)+Assumptions!$B$8*Assumptions!$B$20/(1+Assumptions!$B$10/12)^(MAX(1,Assumptions!$B$9+-1))</f>
        <v/>
      </c>
      <c r="D18" s="41">
        <f>Assumptions!$B$8*Assumptions!$B$19+(Assumptions!$B$8/(MAX(1,Assumptions!$B$9+0))*(1-Assumptions!$B$19-Assumptions!$B$20)-Assumptions!$B$8*(Assumptions!$B$13*(1+0.2)+Assumptions!$B$14+Assumptions!$B$15+Assumptions!$B$16)/(MAX(1,Assumptions!$B$9+0)))*(1-(1+Assumptions!$B$10/12)^-(MAX(1,Assumptions!$B$9+0)))/(Assumptions!$B$10/12)+Assumptions!$B$8*Assumptions!$B$20/(1+Assumptions!$B$10/12)^(MAX(1,Assumptions!$B$9+0))</f>
        <v/>
      </c>
      <c r="E18" s="41">
        <f>Assumptions!$B$8*Assumptions!$B$19+(Assumptions!$B$8/(MAX(1,Assumptions!$B$9+1))*(1-Assumptions!$B$19-Assumptions!$B$20)-Assumptions!$B$8*(Assumptions!$B$13*(1+0.2)+Assumptions!$B$14+Assumptions!$B$15+Assumptions!$B$16)/(MAX(1,Assumptions!$B$9+1)))*(1-(1+Assumptions!$B$10/12)^-(MAX(1,Assumptions!$B$9+1)))/(Assumptions!$B$10/12)+Assumptions!$B$8*Assumptions!$B$20/(1+Assumptions!$B$10/12)^(MAX(1,Assumptions!$B$9+1))</f>
        <v/>
      </c>
      <c r="F18" s="41">
        <f>Assumptions!$B$8*Assumptions!$B$19+(Assumptions!$B$8/(MAX(1,Assumptions!$B$9+2))*(1-Assumptions!$B$19-Assumptions!$B$20)-Assumptions!$B$8*(Assumptions!$B$13*(1+0.2)+Assumptions!$B$14+Assumptions!$B$15+Assumptions!$B$16)/(MAX(1,Assumptions!$B$9+2)))*(1-(1+Assumptions!$B$10/12)^-(MAX(1,Assumptions!$B$9+2)))/(Assumptions!$B$10/12)+Assumptions!$B$8*Assumptions!$B$20/(1+Assumptions!$B$10/12)^(MAX(1,Assumptions!$B$9+2)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E4B"/>
  <mergeCells count="1">
    <mergeCell ref="A1:G1"/>
  </mergeCells>
  <pageMargins left="0.75" right="0.75" top="1" bottom="1" header="0.5" footer="0.5"/>
  <headerFooter>
    <oddHeader/>
    <oddFooter>&amp;R&amp;9 &amp;K808080Generated by Endall | endall.ai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2026-04-22T19:28:52Z</dcterms:created>
  <dcterms:modified xmlns:dcterms="http://purl.org/dc/terms/" xmlns:xsi="http://www.w3.org/2001/XMLSchema-instance" xsi:type="dcterms:W3CDTF">2026-04-22T19:28:52Z</dcterms:modified>
</cp:coreProperties>
</file>